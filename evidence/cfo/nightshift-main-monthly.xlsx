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Nightshift monthly assumed fore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#,##0;(#,##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M1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Nightshift monthly assumed forecast</t>
        </is>
      </c>
    </row>
    <row r="2" ht="20" customHeight="1">
      <c r="A2" t="inlineStr" s="2">
        <is>
          <t xml:space="preserve">Nightshift — Monthly baseline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5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5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5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5">
        <is>
          <t xml:space="preserve">2027-10</t>
        </is>
      </c>
    </row>
    <row r="5">
      <c r="A5" t="inlineStr" s="6">
        <is>
          <t xml:space="preserve">Assumed price</t>
        </is>
      </c>
      <c r="B5" s="7">
        <f>IF('Model inputs'!P14="","",'Model inputs'!P14)</f>
        <v>49</v>
      </c>
      <c r="C5" s="7">
        <f>IF('Model inputs'!P14="","",'Model inputs'!P14)</f>
        <v>49</v>
      </c>
      <c r="D5" s="7">
        <f>IF('Model inputs'!P14="","",'Model inputs'!P14)</f>
        <v>49</v>
      </c>
      <c r="E5" s="7">
        <f>IF('Model inputs'!P14="","",'Model inputs'!P14)</f>
        <v>49</v>
      </c>
      <c r="F5" s="7">
        <f>IF('Model inputs'!P14="","",'Model inputs'!P14)</f>
        <v>49</v>
      </c>
      <c r="G5" s="7">
        <f>IF('Model inputs'!P14="","",'Model inputs'!P14)</f>
        <v>49</v>
      </c>
      <c r="H5" s="7">
        <f>IF('Model inputs'!P14="","",'Model inputs'!P14)</f>
        <v>49</v>
      </c>
      <c r="I5" s="7">
        <f>IF('Model inputs'!P14="","",'Model inputs'!P14)</f>
        <v>49</v>
      </c>
      <c r="J5" s="7">
        <f>IF('Model inputs'!P14="","",'Model inputs'!P14)</f>
        <v>49</v>
      </c>
      <c r="K5" s="7">
        <f>IF('Model inputs'!P14="","",'Model inputs'!P14)</f>
        <v>49</v>
      </c>
      <c r="L5" s="7">
        <f>IF('Model inputs'!P14="","",'Model inputs'!P14)</f>
        <v>49</v>
      </c>
      <c r="M5" s="7">
        <f>IF('Model inputs'!P14="","",'Model inputs'!P14)</f>
        <v>49</v>
      </c>
    </row>
    <row r="6">
      <c r="A6" t="inlineStr" s="8">
        <is>
          <t xml:space="preserve">Assumed paid runs</t>
        </is>
      </c>
      <c r="B6" s="9">
        <f>0</f>
        <v>0</v>
      </c>
      <c r="C6" s="9">
        <f>20</f>
        <v>20</v>
      </c>
      <c r="D6" s="9">
        <f>20</f>
        <v>20</v>
      </c>
      <c r="E6" s="9">
        <f>20</f>
        <v>20</v>
      </c>
      <c r="F6" s="9">
        <f>20</f>
        <v>20</v>
      </c>
      <c r="G6" s="9">
        <f>20</f>
        <v>20</v>
      </c>
      <c r="H6" s="9">
        <f>20</f>
        <v>20</v>
      </c>
      <c r="I6" s="9">
        <f>20</f>
        <v>20</v>
      </c>
      <c r="J6" s="9">
        <f>20</f>
        <v>20</v>
      </c>
      <c r="K6" s="9">
        <f>20</f>
        <v>20</v>
      </c>
      <c r="L6" s="9">
        <f>20</f>
        <v>20</v>
      </c>
      <c r="M6" s="9">
        <f>20</f>
        <v>20</v>
      </c>
    </row>
    <row r="7">
      <c r="A7" t="inlineStr" s="8">
        <is>
          <t xml:space="preserve">Assumed revenue</t>
        </is>
      </c>
      <c r="B7" s="10">
        <f>'Nightshift monthly assumed fore'!B5*'Nightshift monthly assumed fore'!B6</f>
        <v>0</v>
      </c>
      <c r="C7" s="10">
        <f>'Nightshift monthly assumed fore'!C5*'Nightshift monthly assumed fore'!C6</f>
        <v>980</v>
      </c>
      <c r="D7" s="10">
        <f>'Nightshift monthly assumed fore'!D5*'Nightshift monthly assumed fore'!D6</f>
        <v>980</v>
      </c>
      <c r="E7" s="10">
        <f>'Nightshift monthly assumed fore'!E5*'Nightshift monthly assumed fore'!E6</f>
        <v>980</v>
      </c>
      <c r="F7" s="10">
        <f>'Nightshift monthly assumed fore'!F5*'Nightshift monthly assumed fore'!F6</f>
        <v>980</v>
      </c>
      <c r="G7" s="10">
        <f>'Nightshift monthly assumed fore'!G5*'Nightshift monthly assumed fore'!G6</f>
        <v>980</v>
      </c>
      <c r="H7" s="10">
        <f>'Nightshift monthly assumed fore'!H5*'Nightshift monthly assumed fore'!H6</f>
        <v>980</v>
      </c>
      <c r="I7" s="10">
        <f>'Nightshift monthly assumed fore'!I5*'Nightshift monthly assumed fore'!I6</f>
        <v>980</v>
      </c>
      <c r="J7" s="10">
        <f>'Nightshift monthly assumed fore'!J5*'Nightshift monthly assumed fore'!J6</f>
        <v>980</v>
      </c>
      <c r="K7" s="10">
        <f>'Nightshift monthly assumed fore'!K5*'Nightshift monthly assumed fore'!K6</f>
        <v>980</v>
      </c>
      <c r="L7" s="10">
        <f>'Nightshift monthly assumed fore'!L5*'Nightshift monthly assumed fore'!L6</f>
        <v>980</v>
      </c>
      <c r="M7" s="10">
        <f>'Nightshift monthly assumed fore'!M5*'Nightshift monthly assumed fore'!M6</f>
        <v>980</v>
      </c>
    </row>
    <row r="8">
      <c r="A8" t="inlineStr" s="8">
        <is>
          <t xml:space="preserve">Assumed model cost</t>
        </is>
      </c>
      <c r="B8" s="10">
        <f>'Model inputs'!P9*'Nightshift monthly assumed fore'!B6</f>
        <v>0</v>
      </c>
      <c r="C8" s="10">
        <f>'Model inputs'!P9*'Nightshift monthly assumed fore'!C6</f>
        <v>3</v>
      </c>
      <c r="D8" s="10">
        <f>'Model inputs'!P9*'Nightshift monthly assumed fore'!D6</f>
        <v>3</v>
      </c>
      <c r="E8" s="10">
        <f>'Model inputs'!P9*'Nightshift monthly assumed fore'!E6</f>
        <v>3</v>
      </c>
      <c r="F8" s="10">
        <f>'Model inputs'!P9*'Nightshift monthly assumed fore'!F6</f>
        <v>3</v>
      </c>
      <c r="G8" s="10">
        <f>'Model inputs'!P9*'Nightshift monthly assumed fore'!G6</f>
        <v>3</v>
      </c>
      <c r="H8" s="10">
        <f>'Model inputs'!P9*'Nightshift monthly assumed fore'!H6</f>
        <v>3</v>
      </c>
      <c r="I8" s="10">
        <f>'Model inputs'!P9*'Nightshift monthly assumed fore'!I6</f>
        <v>3</v>
      </c>
      <c r="J8" s="10">
        <f>'Model inputs'!P9*'Nightshift monthly assumed fore'!J6</f>
        <v>3</v>
      </c>
      <c r="K8" s="10">
        <f>'Model inputs'!P9*'Nightshift monthly assumed fore'!K6</f>
        <v>3</v>
      </c>
      <c r="L8" s="10">
        <f>'Model inputs'!P9*'Nightshift monthly assumed fore'!L6</f>
        <v>3</v>
      </c>
      <c r="M8" s="10">
        <f>'Model inputs'!P9*'Nightshift monthly assumed fore'!M6</f>
        <v>3</v>
      </c>
    </row>
    <row r="9">
      <c r="A9" t="inlineStr" s="8">
        <is>
          <t xml:space="preserve">Assumed infrastructure</t>
        </is>
      </c>
      <c r="B9" s="10">
        <f>IF('Model inputs'!P10="","",'Model inputs'!P10)</f>
        <v>25</v>
      </c>
      <c r="C9" s="10">
        <f>IF('Model inputs'!P10="","",'Model inputs'!P10)</f>
        <v>25</v>
      </c>
      <c r="D9" s="10">
        <f>IF('Model inputs'!P10="","",'Model inputs'!P10)</f>
        <v>25</v>
      </c>
      <c r="E9" s="10">
        <f>IF('Model inputs'!P10="","",'Model inputs'!P10)</f>
        <v>25</v>
      </c>
      <c r="F9" s="10">
        <f>IF('Model inputs'!P10="","",'Model inputs'!P10)</f>
        <v>25</v>
      </c>
      <c r="G9" s="10">
        <f>IF('Model inputs'!P10="","",'Model inputs'!P10)</f>
        <v>25</v>
      </c>
      <c r="H9" s="10">
        <f>IF('Model inputs'!P10="","",'Model inputs'!P10)</f>
        <v>25</v>
      </c>
      <c r="I9" s="10">
        <f>IF('Model inputs'!P10="","",'Model inputs'!P10)</f>
        <v>25</v>
      </c>
      <c r="J9" s="10">
        <f>IF('Model inputs'!P10="","",'Model inputs'!P10)</f>
        <v>25</v>
      </c>
      <c r="K9" s="10">
        <f>IF('Model inputs'!P10="","",'Model inputs'!P10)</f>
        <v>25</v>
      </c>
      <c r="L9" s="10">
        <f>IF('Model inputs'!P10="","",'Model inputs'!P10)</f>
        <v>25</v>
      </c>
      <c r="M9" s="10">
        <f>IF('Model inputs'!P10="","",'Model inputs'!P10)</f>
        <v>25</v>
      </c>
    </row>
    <row r="10">
      <c r="A10" t="inlineStr" s="8">
        <is>
          <t xml:space="preserve">Assumed total cost</t>
        </is>
      </c>
      <c r="B10" s="10">
        <f>'Nightshift monthly assumed fore'!B8+'Nightshift monthly assumed fore'!B9</f>
        <v>25</v>
      </c>
      <c r="C10" s="10">
        <f>'Nightshift monthly assumed fore'!C8+'Nightshift monthly assumed fore'!C9</f>
        <v>28</v>
      </c>
      <c r="D10" s="10">
        <f>'Nightshift monthly assumed fore'!D8+'Nightshift monthly assumed fore'!D9</f>
        <v>28</v>
      </c>
      <c r="E10" s="10">
        <f>'Nightshift monthly assumed fore'!E8+'Nightshift monthly assumed fore'!E9</f>
        <v>28</v>
      </c>
      <c r="F10" s="10">
        <f>'Nightshift monthly assumed fore'!F8+'Nightshift monthly assumed fore'!F9</f>
        <v>28</v>
      </c>
      <c r="G10" s="10">
        <f>'Nightshift monthly assumed fore'!G8+'Nightshift monthly assumed fore'!G9</f>
        <v>28</v>
      </c>
      <c r="H10" s="10">
        <f>'Nightshift monthly assumed fore'!H8+'Nightshift monthly assumed fore'!H9</f>
        <v>28</v>
      </c>
      <c r="I10" s="10">
        <f>'Nightshift monthly assumed fore'!I8+'Nightshift monthly assumed fore'!I9</f>
        <v>28</v>
      </c>
      <c r="J10" s="10">
        <f>'Nightshift monthly assumed fore'!J8+'Nightshift monthly assumed fore'!J9</f>
        <v>28</v>
      </c>
      <c r="K10" s="10">
        <f>'Nightshift monthly assumed fore'!K8+'Nightshift monthly assumed fore'!K9</f>
        <v>28</v>
      </c>
      <c r="L10" s="10">
        <f>'Nightshift monthly assumed fore'!L8+'Nightshift monthly assumed fore'!L9</f>
        <v>28</v>
      </c>
      <c r="M10" s="10">
        <f>'Nightshift monthly assumed fore'!M8+'Nightshift monthly assumed fore'!M9</f>
        <v>28</v>
      </c>
    </row>
    <row r="11">
      <c r="A11" t="inlineStr" s="8">
        <is>
          <t xml:space="preserve">Assumed operating result</t>
        </is>
      </c>
      <c r="B11" s="10">
        <f>'Nightshift monthly assumed fore'!B7-'Nightshift monthly assumed fore'!B10</f>
        <v>-25</v>
      </c>
      <c r="C11" s="10">
        <f>'Nightshift monthly assumed fore'!C7-'Nightshift monthly assumed fore'!C10</f>
        <v>952</v>
      </c>
      <c r="D11" s="10">
        <f>'Nightshift monthly assumed fore'!D7-'Nightshift monthly assumed fore'!D10</f>
        <v>952</v>
      </c>
      <c r="E11" s="10">
        <f>'Nightshift monthly assumed fore'!E7-'Nightshift monthly assumed fore'!E10</f>
        <v>952</v>
      </c>
      <c r="F11" s="10">
        <f>'Nightshift monthly assumed fore'!F7-'Nightshift monthly assumed fore'!F10</f>
        <v>952</v>
      </c>
      <c r="G11" s="10">
        <f>'Nightshift monthly assumed fore'!G7-'Nightshift monthly assumed fore'!G10</f>
        <v>952</v>
      </c>
      <c r="H11" s="10">
        <f>'Nightshift monthly assumed fore'!H7-'Nightshift monthly assumed fore'!H10</f>
        <v>952</v>
      </c>
      <c r="I11" s="10">
        <f>'Nightshift monthly assumed fore'!I7-'Nightshift monthly assumed fore'!I10</f>
        <v>952</v>
      </c>
      <c r="J11" s="10">
        <f>'Nightshift monthly assumed fore'!J7-'Nightshift monthly assumed fore'!J10</f>
        <v>952</v>
      </c>
      <c r="K11" s="10">
        <f>'Nightshift monthly assumed fore'!K7-'Nightshift monthly assumed fore'!K10</f>
        <v>952</v>
      </c>
      <c r="L11" s="10">
        <f>'Nightshift monthly assumed fore'!L7-'Nightshift monthly assumed fore'!L10</f>
        <v>952</v>
      </c>
      <c r="M11" s="10">
        <f>'Nightshift monthly assumed fore'!M7-'Nightshift monthly assumed fore'!M10</f>
        <v>952</v>
      </c>
    </row>
    <row r="12">
      <c r="A12" t="inlineStr" s="6">
        <is>
          <t xml:space="preserve">Assumed ending cash</t>
        </is>
      </c>
      <c r="B12" s="7">
        <f>IF(IF(DATE(2026,11,1)=DATE(2026,11,1),IF('Model inputs'!P16="","",'Model inputs'!P16),IF('Model inputs'!C6="","",'Model inputs'!C6))="",0,IF(DATE(2026,11,1)=DATE(2026,11,1),IF('Model inputs'!P16="","",'Model inputs'!P16),IF('Model inputs'!C6="","",'Model inputs'!C6)))+'Nightshift monthly assumed fore'!B11</f>
        <v>-25</v>
      </c>
      <c r="C12" s="7">
        <f>IF(IF(DATE(2026,12,1)=DATE(2026,11,1),IF('Model inputs'!P16="","",'Model inputs'!P16),IF('Nightshift monthly assumed fore'!B12="","",'Nightshift monthly assumed fore'!B12))="",0,IF(DATE(2026,12,1)=DATE(2026,11,1),IF('Model inputs'!P16="","",'Model inputs'!P16),IF('Nightshift monthly assumed fore'!B12="","",'Nightshift monthly assumed fore'!B12)))+'Nightshift monthly assumed fore'!C11</f>
        <v>927</v>
      </c>
      <c r="D12" s="7">
        <f>IF(IF(DATE(2027,1,1)=DATE(2026,11,1),IF('Model inputs'!P16="","",'Model inputs'!P16),IF('Nightshift monthly assumed fore'!C12="","",'Nightshift monthly assumed fore'!C12))="",0,IF(DATE(2027,1,1)=DATE(2026,11,1),IF('Model inputs'!P16="","",'Model inputs'!P16),IF('Nightshift monthly assumed fore'!C12="","",'Nightshift monthly assumed fore'!C12)))+'Nightshift monthly assumed fore'!D11</f>
        <v>1879</v>
      </c>
      <c r="E12" s="7">
        <f>IF(IF(DATE(2027,2,1)=DATE(2026,11,1),IF('Model inputs'!P16="","",'Model inputs'!P16),IF('Nightshift monthly assumed fore'!D12="","",'Nightshift monthly assumed fore'!D12))="",0,IF(DATE(2027,2,1)=DATE(2026,11,1),IF('Model inputs'!P16="","",'Model inputs'!P16),IF('Nightshift monthly assumed fore'!D12="","",'Nightshift monthly assumed fore'!D12)))+'Nightshift monthly assumed fore'!E11</f>
        <v>2831</v>
      </c>
      <c r="F12" s="7">
        <f>IF(IF(DATE(2027,3,1)=DATE(2026,11,1),IF('Model inputs'!P16="","",'Model inputs'!P16),IF('Nightshift monthly assumed fore'!E12="","",'Nightshift monthly assumed fore'!E12))="",0,IF(DATE(2027,3,1)=DATE(2026,11,1),IF('Model inputs'!P16="","",'Model inputs'!P16),IF('Nightshift monthly assumed fore'!E12="","",'Nightshift monthly assumed fore'!E12)))+'Nightshift monthly assumed fore'!F11</f>
        <v>3783</v>
      </c>
      <c r="G12" s="7">
        <f>IF(IF(DATE(2027,4,1)=DATE(2026,11,1),IF('Model inputs'!P16="","",'Model inputs'!P16),IF('Nightshift monthly assumed fore'!F12="","",'Nightshift monthly assumed fore'!F12))="",0,IF(DATE(2027,4,1)=DATE(2026,11,1),IF('Model inputs'!P16="","",'Model inputs'!P16),IF('Nightshift monthly assumed fore'!F12="","",'Nightshift monthly assumed fore'!F12)))+'Nightshift monthly assumed fore'!G11</f>
        <v>4735</v>
      </c>
      <c r="H12" s="7">
        <f>IF(IF(DATE(2027,5,1)=DATE(2026,11,1),IF('Model inputs'!P16="","",'Model inputs'!P16),IF('Nightshift monthly assumed fore'!G12="","",'Nightshift monthly assumed fore'!G12))="",0,IF(DATE(2027,5,1)=DATE(2026,11,1),IF('Model inputs'!P16="","",'Model inputs'!P16),IF('Nightshift monthly assumed fore'!G12="","",'Nightshift monthly assumed fore'!G12)))+'Nightshift monthly assumed fore'!H11</f>
        <v>5687</v>
      </c>
      <c r="I12" s="7">
        <f>IF(IF(DATE(2027,6,1)=DATE(2026,11,1),IF('Model inputs'!P16="","",'Model inputs'!P16),IF('Nightshift monthly assumed fore'!H12="","",'Nightshift monthly assumed fore'!H12))="",0,IF(DATE(2027,6,1)=DATE(2026,11,1),IF('Model inputs'!P16="","",'Model inputs'!P16),IF('Nightshift monthly assumed fore'!H12="","",'Nightshift monthly assumed fore'!H12)))+'Nightshift monthly assumed fore'!I11</f>
        <v>6639</v>
      </c>
      <c r="J12" s="7">
        <f>IF(IF(DATE(2027,7,1)=DATE(2026,11,1),IF('Model inputs'!P16="","",'Model inputs'!P16),IF('Nightshift monthly assumed fore'!I12="","",'Nightshift monthly assumed fore'!I12))="",0,IF(DATE(2027,7,1)=DATE(2026,11,1),IF('Model inputs'!P16="","",'Model inputs'!P16),IF('Nightshift monthly assumed fore'!I12="","",'Nightshift monthly assumed fore'!I12)))+'Nightshift monthly assumed fore'!J11</f>
        <v>7591</v>
      </c>
      <c r="K12" s="7">
        <f>IF(IF(DATE(2027,8,1)=DATE(2026,11,1),IF('Model inputs'!P16="","",'Model inputs'!P16),IF('Nightshift monthly assumed fore'!J12="","",'Nightshift monthly assumed fore'!J12))="",0,IF(DATE(2027,8,1)=DATE(2026,11,1),IF('Model inputs'!P16="","",'Model inputs'!P16),IF('Nightshift monthly assumed fore'!J12="","",'Nightshift monthly assumed fore'!J12)))+'Nightshift monthly assumed fore'!K11</f>
        <v>8543</v>
      </c>
      <c r="L12" s="7">
        <f>IF(IF(DATE(2027,9,1)=DATE(2026,11,1),IF('Model inputs'!P16="","",'Model inputs'!P16),IF('Nightshift monthly assumed fore'!K12="","",'Nightshift monthly assumed fore'!K12))="",0,IF(DATE(2027,9,1)=DATE(2026,11,1),IF('Model inputs'!P16="","",'Model inputs'!P16),IF('Nightshift monthly assumed fore'!K12="","",'Nightshift monthly assumed fore'!K12)))+'Nightshift monthly assumed fore'!L11</f>
        <v>9495</v>
      </c>
      <c r="M12" s="7">
        <f>IF(IF(DATE(2027,10,1)=DATE(2026,11,1),IF('Model inputs'!P16="","",'Model inputs'!P16),IF('Nightshift monthly assumed fore'!L12="","",'Nightshift monthly assumed fore'!L12))="",0,IF(DATE(2027,10,1)=DATE(2026,11,1),IF('Model inputs'!P16="","",'Model inputs'!P16),IF('Nightshift monthly assumed fore'!L12="","",'Nightshift monthly assumed fore'!L12)))+'Nightshift monthly assumed fore'!M11</f>
        <v>10447</v>
      </c>
    </row>
  </sheetData>
  <mergeCells count="1">
    <mergeCell ref="A1:M1"/>
  </mergeCells>
</worksheet>
</file>

<file path=xl/worksheets/sheet2.xml><?xml version="1.0" encoding="utf-8"?>
<worksheet xmlns="http://schemas.openxmlformats.org/spreadsheetml/2006/main">
  <dimension ref="A1:P17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1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2026-09</t>
        </is>
      </c>
      <c r="C5" t="inlineStr" s="5">
        <is>
          <t xml:space="preserve">2026-10</t>
        </is>
      </c>
      <c r="D5" t="inlineStr" s="4">
        <is>
          <t xml:space="preserve">2026-11</t>
        </is>
      </c>
      <c r="E5" t="inlineStr" s="4">
        <is>
          <t xml:space="preserve">2026-12</t>
        </is>
      </c>
      <c r="F5" t="inlineStr" s="5">
        <is>
          <t xml:space="preserve">2027-01</t>
        </is>
      </c>
      <c r="G5" t="inlineStr" s="4">
        <is>
          <t xml:space="preserve">2027-02</t>
        </is>
      </c>
      <c r="H5" t="inlineStr" s="4">
        <is>
          <t xml:space="preserve">2027-03</t>
        </is>
      </c>
      <c r="I5" t="inlineStr" s="5">
        <is>
          <t xml:space="preserve">2027-04</t>
        </is>
      </c>
      <c r="J5" t="inlineStr" s="4">
        <is>
          <t xml:space="preserve">2027-05</t>
        </is>
      </c>
      <c r="K5" t="inlineStr" s="4">
        <is>
          <t xml:space="preserve">2027-06</t>
        </is>
      </c>
      <c r="L5" t="inlineStr" s="5">
        <is>
          <t xml:space="preserve">2027-07</t>
        </is>
      </c>
      <c r="M5" t="inlineStr" s="4">
        <is>
          <t xml:space="preserve">2027-08</t>
        </is>
      </c>
      <c r="N5" t="inlineStr" s="4">
        <is>
          <t xml:space="preserve">2027-09</t>
        </is>
      </c>
      <c r="O5" t="inlineStr" s="5">
        <is>
          <t xml:space="preserve">2027-10</t>
        </is>
      </c>
      <c r="P5" t="inlineStr" s="4">
        <is>
          <t xml:space="preserve">Value</t>
        </is>
      </c>
    </row>
    <row r="6">
      <c r="A6" t="inlineStr" s="12">
        <is>
          <t xml:space="preserve">Assumed ending cash</t>
        </is>
      </c>
      <c r="B6" s="10">
        <v>0</v>
      </c>
      <c r="C6" s="10">
        <f>IF(IF(DATE(2026,10,1)=DATE(2026,11,1),IF('Model inputs'!P16="","",'Model inputs'!P16),IF('Model inputs'!B6="","",'Model inputs'!B6))="",0,IF(DATE(2026,10,1)=DATE(2026,11,1),IF('Model inputs'!P16="","",'Model inputs'!P16),IF('Model inputs'!B6="","",'Model inputs'!B6)))+'Model inputs'!C11</f>
        <v>-25</v>
      </c>
      <c r="D6" s="10">
        <f>IF(IF(DATE(2026,11,1)=DATE(2026,11,1),IF('Model inputs'!P16="","",'Model inputs'!P16),IF('Model inputs'!C6="","",'Model inputs'!C6))="",0,IF(DATE(2026,11,1)=DATE(2026,11,1),IF('Model inputs'!P16="","",'Model inputs'!P16),IF('Model inputs'!C6="","",'Model inputs'!C6)))+'Model inputs'!D11</f>
        <v>-25</v>
      </c>
      <c r="E6" s="10">
        <f>IF(IF(DATE(2026,12,1)=DATE(2026,11,1),IF('Model inputs'!P16="","",'Model inputs'!P16),IF('Model inputs'!D6="","",'Model inputs'!D6))="",0,IF(DATE(2026,12,1)=DATE(2026,11,1),IF('Model inputs'!P16="","",'Model inputs'!P16),IF('Model inputs'!D6="","",'Model inputs'!D6)))+'Model inputs'!E11</f>
        <v>927</v>
      </c>
      <c r="F6" s="10">
        <f>IF(IF(DATE(2027,1,1)=DATE(2026,11,1),IF('Model inputs'!P16="","",'Model inputs'!P16),IF('Model inputs'!E6="","",'Model inputs'!E6))="",0,IF(DATE(2027,1,1)=DATE(2026,11,1),IF('Model inputs'!P16="","",'Model inputs'!P16),IF('Model inputs'!E6="","",'Model inputs'!E6)))+'Model inputs'!F11</f>
        <v>1879</v>
      </c>
      <c r="G6" s="10">
        <f>IF(IF(DATE(2027,2,1)=DATE(2026,11,1),IF('Model inputs'!P16="","",'Model inputs'!P16),IF('Model inputs'!F6="","",'Model inputs'!F6))="",0,IF(DATE(2027,2,1)=DATE(2026,11,1),IF('Model inputs'!P16="","",'Model inputs'!P16),IF('Model inputs'!F6="","",'Model inputs'!F6)))+'Model inputs'!G11</f>
        <v>2831</v>
      </c>
      <c r="H6" s="10">
        <f>IF(IF(DATE(2027,3,1)=DATE(2026,11,1),IF('Model inputs'!P16="","",'Model inputs'!P16),IF('Model inputs'!G6="","",'Model inputs'!G6))="",0,IF(DATE(2027,3,1)=DATE(2026,11,1),IF('Model inputs'!P16="","",'Model inputs'!P16),IF('Model inputs'!G6="","",'Model inputs'!G6)))+'Model inputs'!H11</f>
        <v>3783</v>
      </c>
      <c r="I6" s="10">
        <f>IF(IF(DATE(2027,4,1)=DATE(2026,11,1),IF('Model inputs'!P16="","",'Model inputs'!P16),IF('Model inputs'!H6="","",'Model inputs'!H6))="",0,IF(DATE(2027,4,1)=DATE(2026,11,1),IF('Model inputs'!P16="","",'Model inputs'!P16),IF('Model inputs'!H6="","",'Model inputs'!H6)))+'Model inputs'!I11</f>
        <v>4735</v>
      </c>
      <c r="J6" s="10">
        <f>IF(IF(DATE(2027,5,1)=DATE(2026,11,1),IF('Model inputs'!P16="","",'Model inputs'!P16),IF('Model inputs'!I6="","",'Model inputs'!I6))="",0,IF(DATE(2027,5,1)=DATE(2026,11,1),IF('Model inputs'!P16="","",'Model inputs'!P16),IF('Model inputs'!I6="","",'Model inputs'!I6)))+'Model inputs'!J11</f>
        <v>5687</v>
      </c>
      <c r="K6" s="10">
        <f>IF(IF(DATE(2027,6,1)=DATE(2026,11,1),IF('Model inputs'!P16="","",'Model inputs'!P16),IF('Model inputs'!J6="","",'Model inputs'!J6))="",0,IF(DATE(2027,6,1)=DATE(2026,11,1),IF('Model inputs'!P16="","",'Model inputs'!P16),IF('Model inputs'!J6="","",'Model inputs'!J6)))+'Model inputs'!K11</f>
        <v>6639</v>
      </c>
      <c r="L6" s="10">
        <f>IF(IF(DATE(2027,7,1)=DATE(2026,11,1),IF('Model inputs'!P16="","",'Model inputs'!P16),IF('Model inputs'!K6="","",'Model inputs'!K6))="",0,IF(DATE(2027,7,1)=DATE(2026,11,1),IF('Model inputs'!P16="","",'Model inputs'!P16),IF('Model inputs'!K6="","",'Model inputs'!K6)))+'Model inputs'!L11</f>
        <v>7591</v>
      </c>
      <c r="M6" s="10">
        <f>IF(IF(DATE(2027,8,1)=DATE(2026,11,1),IF('Model inputs'!P16="","",'Model inputs'!P16),IF('Model inputs'!L6="","",'Model inputs'!L6))="",0,IF(DATE(2027,8,1)=DATE(2026,11,1),IF('Model inputs'!P16="","",'Model inputs'!P16),IF('Model inputs'!L6="","",'Model inputs'!L6)))+'Model inputs'!M11</f>
        <v>8543</v>
      </c>
      <c r="N6" s="10">
        <f>IF(IF(DATE(2027,9,1)=DATE(2026,11,1),IF('Model inputs'!P16="","",'Model inputs'!P16),IF('Model inputs'!M6="","",'Model inputs'!M6))="",0,IF(DATE(2027,9,1)=DATE(2026,11,1),IF('Model inputs'!P16="","",'Model inputs'!P16),IF('Model inputs'!M6="","",'Model inputs'!M6)))+'Model inputs'!N11</f>
        <v>9495</v>
      </c>
      <c r="O6" s="10">
        <f>IF(IF(DATE(2027,10,1)=DATE(2026,11,1),IF('Model inputs'!P16="","",'Model inputs'!P16),IF('Model inputs'!N6="","",'Model inputs'!N6))="",0,IF(DATE(2027,10,1)=DATE(2026,11,1),IF('Model inputs'!P16="","",'Model inputs'!P16),IF('Model inputs'!N6="","",'Model inputs'!N6)))+'Model inputs'!O11</f>
        <v>10447</v>
      </c>
    </row>
    <row r="7">
      <c r="A7" t="inlineStr" s="12">
        <is>
          <t xml:space="preserve">Assumed infrastructure</t>
        </is>
      </c>
      <c r="B7" s="10">
        <v>0</v>
      </c>
      <c r="C7" s="10">
        <f>IF('Model inputs'!P10="","",'Model inputs'!P10)</f>
        <v>25</v>
      </c>
      <c r="D7" s="10">
        <f>IF('Model inputs'!P10="","",'Model inputs'!P10)</f>
        <v>25</v>
      </c>
      <c r="E7" s="10">
        <f>IF('Model inputs'!P10="","",'Model inputs'!P10)</f>
        <v>25</v>
      </c>
      <c r="F7" s="10">
        <f>IF('Model inputs'!P10="","",'Model inputs'!P10)</f>
        <v>25</v>
      </c>
      <c r="G7" s="10">
        <f>IF('Model inputs'!P10="","",'Model inputs'!P10)</f>
        <v>25</v>
      </c>
      <c r="H7" s="10">
        <f>IF('Model inputs'!P10="","",'Model inputs'!P10)</f>
        <v>25</v>
      </c>
      <c r="I7" s="10">
        <f>IF('Model inputs'!P10="","",'Model inputs'!P10)</f>
        <v>25</v>
      </c>
      <c r="J7" s="10">
        <f>IF('Model inputs'!P10="","",'Model inputs'!P10)</f>
        <v>25</v>
      </c>
      <c r="K7" s="10">
        <f>IF('Model inputs'!P10="","",'Model inputs'!P10)</f>
        <v>25</v>
      </c>
      <c r="L7" s="10">
        <f>IF('Model inputs'!P10="","",'Model inputs'!P10)</f>
        <v>25</v>
      </c>
      <c r="M7" s="10">
        <f>IF('Model inputs'!P10="","",'Model inputs'!P10)</f>
        <v>25</v>
      </c>
      <c r="N7" s="10">
        <f>IF('Model inputs'!P10="","",'Model inputs'!P10)</f>
        <v>25</v>
      </c>
      <c r="O7" s="10">
        <f>IF('Model inputs'!P10="","",'Model inputs'!P10)</f>
        <v>25</v>
      </c>
    </row>
    <row r="8">
      <c r="A8" t="inlineStr" s="12">
        <is>
          <t xml:space="preserve">Assumed model cost</t>
        </is>
      </c>
      <c r="B8" s="10">
        <v>0</v>
      </c>
      <c r="C8" s="10">
        <f>'Model inputs'!P9*'Model inputs'!C12</f>
        <v>0</v>
      </c>
      <c r="D8" s="10">
        <f>'Model inputs'!P9*'Model inputs'!D12</f>
        <v>0</v>
      </c>
      <c r="E8" s="10">
        <f>'Model inputs'!P9*'Model inputs'!E12</f>
        <v>3</v>
      </c>
      <c r="F8" s="10">
        <f>'Model inputs'!P9*'Model inputs'!F12</f>
        <v>3</v>
      </c>
      <c r="G8" s="10">
        <f>'Model inputs'!P9*'Model inputs'!G12</f>
        <v>3</v>
      </c>
      <c r="H8" s="10">
        <f>'Model inputs'!P9*'Model inputs'!H12</f>
        <v>3</v>
      </c>
      <c r="I8" s="10">
        <f>'Model inputs'!P9*'Model inputs'!I12</f>
        <v>3</v>
      </c>
      <c r="J8" s="10">
        <f>'Model inputs'!P9*'Model inputs'!J12</f>
        <v>3</v>
      </c>
      <c r="K8" s="10">
        <f>'Model inputs'!P9*'Model inputs'!K12</f>
        <v>3</v>
      </c>
      <c r="L8" s="10">
        <f>'Model inputs'!P9*'Model inputs'!L12</f>
        <v>3</v>
      </c>
      <c r="M8" s="10">
        <f>'Model inputs'!P9*'Model inputs'!M12</f>
        <v>3</v>
      </c>
      <c r="N8" s="10">
        <f>'Model inputs'!P9*'Model inputs'!N12</f>
        <v>3</v>
      </c>
      <c r="O8" s="10">
        <f>'Model inputs'!P9*'Model inputs'!O12</f>
        <v>3</v>
      </c>
    </row>
    <row r="9">
      <c r="A9" t="inlineStr" s="12">
        <is>
          <t xml:space="preserve">Assumed model cost per run</t>
        </is>
      </c>
      <c r="P9" s="10">
        <f>0.15</f>
        <v>0.15</v>
      </c>
    </row>
    <row r="10">
      <c r="A10" t="inlineStr" s="12">
        <is>
          <t xml:space="preserve">Assumed monthly infrastructure input</t>
        </is>
      </c>
      <c r="P10" s="10">
        <f>25</f>
        <v>25</v>
      </c>
    </row>
    <row r="11">
      <c r="A11" t="inlineStr" s="12">
        <is>
          <t xml:space="preserve">Assumed operating result</t>
        </is>
      </c>
      <c r="B11" s="10">
        <v>0</v>
      </c>
      <c r="C11" s="10">
        <f>'Model inputs'!C15-'Model inputs'!C17</f>
        <v>-25</v>
      </c>
      <c r="D11" s="10">
        <f>'Model inputs'!D15-'Model inputs'!D17</f>
        <v>-25</v>
      </c>
      <c r="E11" s="10">
        <f>'Model inputs'!E15-'Model inputs'!E17</f>
        <v>952</v>
      </c>
      <c r="F11" s="10">
        <f>'Model inputs'!F15-'Model inputs'!F17</f>
        <v>952</v>
      </c>
      <c r="G11" s="10">
        <f>'Model inputs'!G15-'Model inputs'!G17</f>
        <v>952</v>
      </c>
      <c r="H11" s="10">
        <f>'Model inputs'!H15-'Model inputs'!H17</f>
        <v>952</v>
      </c>
      <c r="I11" s="10">
        <f>'Model inputs'!I15-'Model inputs'!I17</f>
        <v>952</v>
      </c>
      <c r="J11" s="10">
        <f>'Model inputs'!J15-'Model inputs'!J17</f>
        <v>952</v>
      </c>
      <c r="K11" s="10">
        <f>'Model inputs'!K15-'Model inputs'!K17</f>
        <v>952</v>
      </c>
      <c r="L11" s="10">
        <f>'Model inputs'!L15-'Model inputs'!L17</f>
        <v>952</v>
      </c>
      <c r="M11" s="10">
        <f>'Model inputs'!M15-'Model inputs'!M17</f>
        <v>952</v>
      </c>
      <c r="N11" s="10">
        <f>'Model inputs'!N15-'Model inputs'!N17</f>
        <v>952</v>
      </c>
      <c r="O11" s="10">
        <f>'Model inputs'!O15-'Model inputs'!O17</f>
        <v>952</v>
      </c>
    </row>
    <row r="12">
      <c r="A12" t="inlineStr" s="12">
        <is>
          <t xml:space="preserve">Assumed paid runs</t>
        </is>
      </c>
      <c r="B12" s="9">
        <v>0</v>
      </c>
      <c r="C12" s="9">
        <v>0</v>
      </c>
      <c r="D12" s="9">
        <f>'Nightshift monthly assumed fore'!B6</f>
        <v>0</v>
      </c>
      <c r="E12" s="9">
        <f>'Nightshift monthly assumed fore'!C6</f>
        <v>20</v>
      </c>
      <c r="F12" s="9">
        <f>'Nightshift monthly assumed fore'!D6</f>
        <v>20</v>
      </c>
      <c r="G12" s="9">
        <f>'Nightshift monthly assumed fore'!E6</f>
        <v>20</v>
      </c>
      <c r="H12" s="9">
        <f>'Nightshift monthly assumed fore'!F6</f>
        <v>20</v>
      </c>
      <c r="I12" s="9">
        <f>'Nightshift monthly assumed fore'!G6</f>
        <v>20</v>
      </c>
      <c r="J12" s="9">
        <f>'Nightshift monthly assumed fore'!H6</f>
        <v>20</v>
      </c>
      <c r="K12" s="9">
        <f>'Nightshift monthly assumed fore'!I6</f>
        <v>20</v>
      </c>
      <c r="L12" s="9">
        <f>'Nightshift monthly assumed fore'!J6</f>
        <v>20</v>
      </c>
      <c r="M12" s="9">
        <f>'Nightshift monthly assumed fore'!K6</f>
        <v>20</v>
      </c>
      <c r="N12" s="9">
        <f>'Nightshift monthly assumed fore'!L6</f>
        <v>20</v>
      </c>
      <c r="O12" s="9">
        <f>'Nightshift monthly assumed fore'!M6</f>
        <v>20</v>
      </c>
    </row>
    <row r="13">
      <c r="A13" t="inlineStr" s="12">
        <is>
          <t xml:space="preserve">Assumed price</t>
        </is>
      </c>
      <c r="B13" s="10">
        <f>IF('Model inputs'!P14="","",'Model inputs'!P14)</f>
        <v>49</v>
      </c>
      <c r="C13" s="10">
        <f>IF('Model inputs'!P14="","",'Model inputs'!P14)</f>
        <v>49</v>
      </c>
      <c r="D13" s="10">
        <f>IF('Model inputs'!P14="","",'Model inputs'!P14)</f>
        <v>49</v>
      </c>
      <c r="E13" s="10">
        <f>IF('Model inputs'!P14="","",'Model inputs'!P14)</f>
        <v>49</v>
      </c>
      <c r="F13" s="10">
        <f>IF('Model inputs'!P14="","",'Model inputs'!P14)</f>
        <v>49</v>
      </c>
      <c r="G13" s="10">
        <f>IF('Model inputs'!P14="","",'Model inputs'!P14)</f>
        <v>49</v>
      </c>
      <c r="H13" s="10">
        <f>IF('Model inputs'!P14="","",'Model inputs'!P14)</f>
        <v>49</v>
      </c>
      <c r="I13" s="10">
        <f>IF('Model inputs'!P14="","",'Model inputs'!P14)</f>
        <v>49</v>
      </c>
      <c r="J13" s="10">
        <f>IF('Model inputs'!P14="","",'Model inputs'!P14)</f>
        <v>49</v>
      </c>
      <c r="K13" s="10">
        <f>IF('Model inputs'!P14="","",'Model inputs'!P14)</f>
        <v>49</v>
      </c>
      <c r="L13" s="10">
        <f>IF('Model inputs'!P14="","",'Model inputs'!P14)</f>
        <v>49</v>
      </c>
      <c r="M13" s="10">
        <f>IF('Model inputs'!P14="","",'Model inputs'!P14)</f>
        <v>49</v>
      </c>
      <c r="N13" s="10">
        <f>IF('Model inputs'!P14="","",'Model inputs'!P14)</f>
        <v>49</v>
      </c>
      <c r="O13" s="10">
        <f>IF('Model inputs'!P14="","",'Model inputs'!P14)</f>
        <v>49</v>
      </c>
    </row>
    <row r="14">
      <c r="A14" t="inlineStr" s="12">
        <is>
          <t xml:space="preserve">Assumed recovery price</t>
        </is>
      </c>
      <c r="P14" s="10">
        <f>49</f>
        <v>49</v>
      </c>
    </row>
    <row r="15">
      <c r="A15" t="inlineStr" s="12">
        <is>
          <t xml:space="preserve">Assumed revenue</t>
        </is>
      </c>
      <c r="B15" s="10">
        <v>0</v>
      </c>
      <c r="C15" s="10">
        <f>'Model inputs'!C13*'Model inputs'!C12</f>
        <v>0</v>
      </c>
      <c r="D15" s="10">
        <f>'Model inputs'!D13*'Model inputs'!D12</f>
        <v>0</v>
      </c>
      <c r="E15" s="10">
        <f>'Model inputs'!E13*'Model inputs'!E12</f>
        <v>980</v>
      </c>
      <c r="F15" s="10">
        <f>'Model inputs'!F13*'Model inputs'!F12</f>
        <v>980</v>
      </c>
      <c r="G15" s="10">
        <f>'Model inputs'!G13*'Model inputs'!G12</f>
        <v>980</v>
      </c>
      <c r="H15" s="10">
        <f>'Model inputs'!H13*'Model inputs'!H12</f>
        <v>980</v>
      </c>
      <c r="I15" s="10">
        <f>'Model inputs'!I13*'Model inputs'!I12</f>
        <v>980</v>
      </c>
      <c r="J15" s="10">
        <f>'Model inputs'!J13*'Model inputs'!J12</f>
        <v>980</v>
      </c>
      <c r="K15" s="10">
        <f>'Model inputs'!K13*'Model inputs'!K12</f>
        <v>980</v>
      </c>
      <c r="L15" s="10">
        <f>'Model inputs'!L13*'Model inputs'!L12</f>
        <v>980</v>
      </c>
      <c r="M15" s="10">
        <f>'Model inputs'!M13*'Model inputs'!M12</f>
        <v>980</v>
      </c>
      <c r="N15" s="10">
        <f>'Model inputs'!N13*'Model inputs'!N12</f>
        <v>980</v>
      </c>
      <c r="O15" s="10">
        <f>'Model inputs'!O13*'Model inputs'!O12</f>
        <v>980</v>
      </c>
    </row>
    <row r="16">
      <c r="A16" t="inlineStr" s="12">
        <is>
          <t xml:space="preserve">Assumed starting cash</t>
        </is>
      </c>
      <c r="P16" s="10">
        <f>0</f>
        <v>0</v>
      </c>
    </row>
    <row r="17">
      <c r="A17" t="inlineStr" s="12">
        <is>
          <t xml:space="preserve">Assumed total cost</t>
        </is>
      </c>
      <c r="B17" s="10">
        <v>0</v>
      </c>
      <c r="C17" s="10">
        <f>'Model inputs'!C8+'Model inputs'!C7</f>
        <v>25</v>
      </c>
      <c r="D17" s="10">
        <f>'Model inputs'!D8+'Model inputs'!D7</f>
        <v>25</v>
      </c>
      <c r="E17" s="10">
        <f>'Model inputs'!E8+'Model inputs'!E7</f>
        <v>28</v>
      </c>
      <c r="F17" s="10">
        <f>'Model inputs'!F8+'Model inputs'!F7</f>
        <v>28</v>
      </c>
      <c r="G17" s="10">
        <f>'Model inputs'!G8+'Model inputs'!G7</f>
        <v>28</v>
      </c>
      <c r="H17" s="10">
        <f>'Model inputs'!H8+'Model inputs'!H7</f>
        <v>28</v>
      </c>
      <c r="I17" s="10">
        <f>'Model inputs'!I8+'Model inputs'!I7</f>
        <v>28</v>
      </c>
      <c r="J17" s="10">
        <f>'Model inputs'!J8+'Model inputs'!J7</f>
        <v>28</v>
      </c>
      <c r="K17" s="10">
        <f>'Model inputs'!K8+'Model inputs'!K7</f>
        <v>28</v>
      </c>
      <c r="L17" s="10">
        <f>'Model inputs'!L8+'Model inputs'!L7</f>
        <v>28</v>
      </c>
      <c r="M17" s="10">
        <f>'Model inputs'!M8+'Model inputs'!M7</f>
        <v>28</v>
      </c>
      <c r="N17" s="10">
        <f>'Model inputs'!N8+'Model inputs'!N7</f>
        <v>28</v>
      </c>
      <c r="O17" s="10">
        <f>'Model inputs'!O8+'Model inputs'!O7</f>
        <v>28</v>
      </c>
    </row>
  </sheetData>
  <mergeCells count="2">
    <mergeCell ref="A1:P1"/>
    <mergeCell ref="A2:P2"/>
  </mergeCells>
</worksheet>
</file>