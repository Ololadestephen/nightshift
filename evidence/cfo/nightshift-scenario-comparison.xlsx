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Nightshift 12-month assumed out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$&quot;#,##0.00;(&quot;$&quot;#,##0.00)"/>
    <numFmt numFmtId="165" formatCode="#,##0;(#,##0)"/>
    <numFmt numFmtId="166" formatCode="#,##0.###;(#,##0.###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5" borderId="1" xfId="0" applyFill="1" applyFont="1" applyBorder="1" applyAlignment="1">
      <alignment vertical="center" horizontal="right"/>
    </xf>
    <xf numFmtId="0" fontId="3" fillId="6" borderId="0" xfId="0" applyFill="1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D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Nightshift 12-month assumed outcomes</t>
        </is>
      </c>
    </row>
    <row r="2" ht="20" customHeight="1">
      <c r="A2" t="inlineStr" s="2">
        <is>
          <t xml:space="preserve">Nightshift — Scenario comparison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Higher price</t>
        </is>
      </c>
      <c r="D4" t="inlineStr" s="4">
        <is>
          <t xml:space="preserve">Value &gt; delta</t>
        </is>
      </c>
    </row>
    <row r="5">
      <c r="A5" t="inlineStr" s="5">
        <is>
          <t xml:space="preserve">12-month assumed revenue</t>
        </is>
      </c>
      <c r="B5" s="6">
        <f>SUM('Model inputs'!L8,'Model inputs'!M8,'Model inputs'!N8,'Model inputs'!O8,'Model inputs'!P8,'Model inputs'!Q8,'Model inputs'!R8,'Model inputs'!S8,'Model inputs'!T8,'Model inputs'!U8,'Model inputs'!V8,'Model inputs'!W8)</f>
        <v>10780</v>
      </c>
      <c r="C5" s="6">
        <f>SUM('Model inputs'!L9,'Model inputs'!M9,'Model inputs'!N9,'Model inputs'!O9,'Model inputs'!P9,'Model inputs'!Q9,'Model inputs'!R9,'Model inputs'!S9,'Model inputs'!T9,'Model inputs'!U9,'Model inputs'!V9,'Model inputs'!W9)</f>
        <v>17380</v>
      </c>
      <c r="D5" s="6">
        <f>'Nightshift 12-month assumed out'!C5-'Nightshift 12-month assumed out'!B5</f>
        <v>6600</v>
      </c>
    </row>
    <row r="6">
      <c r="A6" t="inlineStr" s="7">
        <is>
          <t xml:space="preserve">12-month assumed total cost</t>
        </is>
      </c>
      <c r="B6" s="8">
        <f>SUM('Model inputs'!L10,'Model inputs'!M10,'Model inputs'!N10,'Model inputs'!O10,'Model inputs'!P10,'Model inputs'!Q10,'Model inputs'!R10,'Model inputs'!S10,'Model inputs'!T10,'Model inputs'!U10,'Model inputs'!V10,'Model inputs'!W10)</f>
        <v>333</v>
      </c>
      <c r="C6" s="8">
        <f>SUM('Model inputs'!L11,'Model inputs'!M11,'Model inputs'!N11,'Model inputs'!O11,'Model inputs'!P11,'Model inputs'!Q11,'Model inputs'!R11,'Model inputs'!S11,'Model inputs'!T11,'Model inputs'!U11,'Model inputs'!V11,'Model inputs'!W11)</f>
        <v>333</v>
      </c>
      <c r="D6" s="8">
        <f>'Nightshift 12-month assumed out'!C6-'Nightshift 12-month assumed out'!B6</f>
        <v>0</v>
      </c>
    </row>
    <row r="7">
      <c r="A7" t="inlineStr" s="7">
        <is>
          <t xml:space="preserve">Horizon assumed ending cash</t>
        </is>
      </c>
      <c r="B7" s="8">
        <f>IF('Model inputs'!W6="","",'Model inputs'!W6)</f>
        <v>10447</v>
      </c>
      <c r="C7" s="8">
        <f>IF('Model inputs'!W7="","",'Model inputs'!W7)</f>
        <v>17047</v>
      </c>
      <c r="D7" s="8">
        <f>'Nightshift 12-month assumed out'!C7-'Nightshift 12-month assumed out'!B7</f>
        <v>6600</v>
      </c>
    </row>
    <row r="8">
      <c r="A8" t="inlineStr" s="7">
        <is>
          <t xml:space="preserve">Assumed runway months</t>
        </is>
      </c>
      <c r="B8" s="9">
        <f>IF(IF(IF(ISERROR(MIN('Model inputs'!L6,'Model inputs'!M6,'Model inputs'!N6,'Model inputs'!O6,'Model inputs'!P6,'Model inputs'!Q6,'Model inputs'!R6,'Model inputs'!S6,'Model inputs'!T6,'Model inputs'!U6,'Model inputs'!V6,'Model inputs'!W6)&gt;=0),MIN('Model inputs'!L6,'Model inputs'!M6,'Model inputs'!N6,'Model inputs'!O6,'Model inputs'!P6,'Model inputs'!Q6,'Model inputs'!R6,'Model inputs'!S6,'Model inputs'!T6,'Model inputs'!U6,'Model inputs'!V6,'Model inputs'!W6)&gt;=0,IF(MIN('Model inputs'!L6,'Model inputs'!M6,'Model inputs'!N6,'Model inputs'!O6,'Model inputs'!P6,'Model inputs'!Q6,'Model inputs'!R6,'Model inputs'!S6,'Model inputs'!T6,'Model inputs'!U6,'Model inputs'!V6,'Model inputs'!W6)="","",MIN('Model inputs'!L6,'Model inputs'!M6,'Model inputs'!N6,'Model inputs'!O6,'Model inputs'!P6,'Model inputs'!Q6,'Model inputs'!R6,'Model inputs'!S6,'Model inputs'!T6,'Model inputs'!U6,'Model inputs'!V6,'Model inputs'!W6)&gt;=0))="",FALSE,IF(ISERROR(MIN('Model inputs'!L6,'Model inputs'!M6,'Model inputs'!N6,'Model inputs'!O6,'Model inputs'!P6,'Model inputs'!Q6,'Model inputs'!R6,'Model inputs'!S6,'Model inputs'!T6,'Model inputs'!U6,'Model inputs'!V6,'Model inputs'!W6)&gt;=0),MIN('Model inputs'!L6,'Model inputs'!M6,'Model inputs'!N6,'Model inputs'!O6,'Model inputs'!P6,'Model inputs'!Q6,'Model inputs'!R6,'Model inputs'!S6,'Model inputs'!T6,'Model inputs'!U6,'Model inputs'!V6,'Model inputs'!W6)&gt;=0,IF(MIN('Model inputs'!L6,'Model inputs'!M6,'Model inputs'!N6,'Model inputs'!O6,'Model inputs'!P6,'Model inputs'!Q6,'Model inputs'!R6,'Model inputs'!S6,'Model inputs'!T6,'Model inputs'!U6,'Model inputs'!V6,'Model inputs'!W6)="","",MIN('Model inputs'!L6,'Model inputs'!M6,'Model inputs'!N6,'Model inputs'!O6,'Model inputs'!P6,'Model inputs'!Q6,'Model inputs'!R6,'Model inputs'!S6,'Model inputs'!T6,'Model inputs'!U6,'Model inputs'!V6,'Model inputs'!W6)&gt;=0))),"",IF(IF(IF(ISERROR('Model inputs'!L6&lt;0),'Model inputs'!L6&lt;0,IF('Model inputs'!L6="","",'Model inputs'!L6&lt;0))="",FALSE,IF(ISERROR('Model inputs'!L6&lt;0),'Model inputs'!L6&lt;0,IF('Model inputs'!L6="","",'Model inputs'!L6&lt;0))),0,IF(IF(IF(ISERROR('Model inputs'!M6&lt;0),'Model inputs'!M6&lt;0,IF('Model inputs'!M6="","",'Model inputs'!M6&lt;0))="",FALSE,IF(ISERROR('Model inputs'!M6&lt;0),'Model inputs'!M6&lt;0,IF('Model inputs'!M6="","",'Model inputs'!M6&lt;0))),1,IF(IF(IF(ISERROR('Model inputs'!N6&lt;0),'Model inputs'!N6&lt;0,IF('Model inputs'!N6="","",'Model inputs'!N6&lt;0))="",FALSE,IF(ISERROR('Model inputs'!N6&lt;0),'Model inputs'!N6&lt;0,IF('Model inputs'!N6="","",'Model inputs'!N6&lt;0))),2,IF(IF(IF(ISERROR('Model inputs'!O6&lt;0),'Model inputs'!O6&lt;0,IF('Model inputs'!O6="","",'Model inputs'!O6&lt;0))="",FALSE,IF(ISERROR('Model inputs'!O6&lt;0),'Model inputs'!O6&lt;0,IF('Model inputs'!O6="","",'Model inputs'!O6&lt;0))),3,IF(IF(IF(ISERROR('Model inputs'!P6&lt;0),'Model inputs'!P6&lt;0,IF('Model inputs'!P6="","",'Model inputs'!P6&lt;0))="",FALSE,IF(ISERROR('Model inputs'!P6&lt;0),'Model inputs'!P6&lt;0,IF('Model inputs'!P6="","",'Model inputs'!P6&lt;0))),4,IF(IF(IF(ISERROR('Model inputs'!Q6&lt;0),'Model inputs'!Q6&lt;0,IF('Model inputs'!Q6="","",'Model inputs'!Q6&lt;0))="",FALSE,IF(ISERROR('Model inputs'!Q6&lt;0),'Model inputs'!Q6&lt;0,IF('Model inputs'!Q6="","",'Model inputs'!Q6&lt;0))),5,IF(IF(IF(ISERROR('Model inputs'!R6&lt;0),'Model inputs'!R6&lt;0,IF('Model inputs'!R6="","",'Model inputs'!R6&lt;0))="",FALSE,IF(ISERROR('Model inputs'!R6&lt;0),'Model inputs'!R6&lt;0,IF('Model inputs'!R6="","",'Model inputs'!R6&lt;0))),6,IF(IF(IF(ISERROR('Model inputs'!S6&lt;0),'Model inputs'!S6&lt;0,IF('Model inputs'!S6="","",'Model inputs'!S6&lt;0))="",FALSE,IF(ISERROR('Model inputs'!S6&lt;0),'Model inputs'!S6&lt;0,IF('Model inputs'!S6="","",'Model inputs'!S6&lt;0))),7,IF(IF(IF(ISERROR('Model inputs'!T6&lt;0),'Model inputs'!T6&lt;0,IF('Model inputs'!T6="","",'Model inputs'!T6&lt;0))="",FALSE,IF(ISERROR('Model inputs'!T6&lt;0),'Model inputs'!T6&lt;0,IF('Model inputs'!T6="","",'Model inputs'!T6&lt;0))),8,IF(IF(IF(ISERROR('Model inputs'!U6&lt;0),'Model inputs'!U6&lt;0,IF('Model inputs'!U6="","",'Model inputs'!U6&lt;0))="",FALSE,IF(ISERROR('Model inputs'!U6&lt;0),'Model inputs'!U6&lt;0,IF('Model inputs'!U6="","",'Model inputs'!U6&lt;0))),9,IF(IF(IF(ISERROR('Model inputs'!V6&lt;0),'Model inputs'!V6&lt;0,IF('Model inputs'!V6="","",'Model inputs'!V6&lt;0))="",FALSE,IF(ISERROR('Model inputs'!V6&lt;0),'Model inputs'!V6&lt;0,IF('Model inputs'!V6="","",'Model inputs'!V6&lt;0))),10,11))))))))))))</f>
        <v>0</v>
      </c>
      <c r="C8" s="9">
        <f>IF(IF(IF(ISERROR(MIN('Model inputs'!L7,'Model inputs'!M7,'Model inputs'!N7,'Model inputs'!O7,'Model inputs'!P7,'Model inputs'!Q7,'Model inputs'!R7,'Model inputs'!S7,'Model inputs'!T7,'Model inputs'!U7,'Model inputs'!V7,'Model inputs'!W7)&gt;=0),MIN('Model inputs'!L7,'Model inputs'!M7,'Model inputs'!N7,'Model inputs'!O7,'Model inputs'!P7,'Model inputs'!Q7,'Model inputs'!R7,'Model inputs'!S7,'Model inputs'!T7,'Model inputs'!U7,'Model inputs'!V7,'Model inputs'!W7)&gt;=0,IF(MIN('Model inputs'!L7,'Model inputs'!M7,'Model inputs'!N7,'Model inputs'!O7,'Model inputs'!P7,'Model inputs'!Q7,'Model inputs'!R7,'Model inputs'!S7,'Model inputs'!T7,'Model inputs'!U7,'Model inputs'!V7,'Model inputs'!W7)="","",MIN('Model inputs'!L7,'Model inputs'!M7,'Model inputs'!N7,'Model inputs'!O7,'Model inputs'!P7,'Model inputs'!Q7,'Model inputs'!R7,'Model inputs'!S7,'Model inputs'!T7,'Model inputs'!U7,'Model inputs'!V7,'Model inputs'!W7)&gt;=0))="",FALSE,IF(ISERROR(MIN('Model inputs'!L7,'Model inputs'!M7,'Model inputs'!N7,'Model inputs'!O7,'Model inputs'!P7,'Model inputs'!Q7,'Model inputs'!R7,'Model inputs'!S7,'Model inputs'!T7,'Model inputs'!U7,'Model inputs'!V7,'Model inputs'!W7)&gt;=0),MIN('Model inputs'!L7,'Model inputs'!M7,'Model inputs'!N7,'Model inputs'!O7,'Model inputs'!P7,'Model inputs'!Q7,'Model inputs'!R7,'Model inputs'!S7,'Model inputs'!T7,'Model inputs'!U7,'Model inputs'!V7,'Model inputs'!W7)&gt;=0,IF(MIN('Model inputs'!L7,'Model inputs'!M7,'Model inputs'!N7,'Model inputs'!O7,'Model inputs'!P7,'Model inputs'!Q7,'Model inputs'!R7,'Model inputs'!S7,'Model inputs'!T7,'Model inputs'!U7,'Model inputs'!V7,'Model inputs'!W7)="","",MIN('Model inputs'!L7,'Model inputs'!M7,'Model inputs'!N7,'Model inputs'!O7,'Model inputs'!P7,'Model inputs'!Q7,'Model inputs'!R7,'Model inputs'!S7,'Model inputs'!T7,'Model inputs'!U7,'Model inputs'!V7,'Model inputs'!W7)&gt;=0))),"",IF(IF(IF(ISERROR('Model inputs'!L7&lt;0),'Model inputs'!L7&lt;0,IF('Model inputs'!L7="","",'Model inputs'!L7&lt;0))="",FALSE,IF(ISERROR('Model inputs'!L7&lt;0),'Model inputs'!L7&lt;0,IF('Model inputs'!L7="","",'Model inputs'!L7&lt;0))),0,IF(IF(IF(ISERROR('Model inputs'!M7&lt;0),'Model inputs'!M7&lt;0,IF('Model inputs'!M7="","",'Model inputs'!M7&lt;0))="",FALSE,IF(ISERROR('Model inputs'!M7&lt;0),'Model inputs'!M7&lt;0,IF('Model inputs'!M7="","",'Model inputs'!M7&lt;0))),1,IF(IF(IF(ISERROR('Model inputs'!N7&lt;0),'Model inputs'!N7&lt;0,IF('Model inputs'!N7="","",'Model inputs'!N7&lt;0))="",FALSE,IF(ISERROR('Model inputs'!N7&lt;0),'Model inputs'!N7&lt;0,IF('Model inputs'!N7="","",'Model inputs'!N7&lt;0))),2,IF(IF(IF(ISERROR('Model inputs'!O7&lt;0),'Model inputs'!O7&lt;0,IF('Model inputs'!O7="","",'Model inputs'!O7&lt;0))="",FALSE,IF(ISERROR('Model inputs'!O7&lt;0),'Model inputs'!O7&lt;0,IF('Model inputs'!O7="","",'Model inputs'!O7&lt;0))),3,IF(IF(IF(ISERROR('Model inputs'!P7&lt;0),'Model inputs'!P7&lt;0,IF('Model inputs'!P7="","",'Model inputs'!P7&lt;0))="",FALSE,IF(ISERROR('Model inputs'!P7&lt;0),'Model inputs'!P7&lt;0,IF('Model inputs'!P7="","",'Model inputs'!P7&lt;0))),4,IF(IF(IF(ISERROR('Model inputs'!Q7&lt;0),'Model inputs'!Q7&lt;0,IF('Model inputs'!Q7="","",'Model inputs'!Q7&lt;0))="",FALSE,IF(ISERROR('Model inputs'!Q7&lt;0),'Model inputs'!Q7&lt;0,IF('Model inputs'!Q7="","",'Model inputs'!Q7&lt;0))),5,IF(IF(IF(ISERROR('Model inputs'!R7&lt;0),'Model inputs'!R7&lt;0,IF('Model inputs'!R7="","",'Model inputs'!R7&lt;0))="",FALSE,IF(ISERROR('Model inputs'!R7&lt;0),'Model inputs'!R7&lt;0,IF('Model inputs'!R7="","",'Model inputs'!R7&lt;0))),6,IF(IF(IF(ISERROR('Model inputs'!S7&lt;0),'Model inputs'!S7&lt;0,IF('Model inputs'!S7="","",'Model inputs'!S7&lt;0))="",FALSE,IF(ISERROR('Model inputs'!S7&lt;0),'Model inputs'!S7&lt;0,IF('Model inputs'!S7="","",'Model inputs'!S7&lt;0))),7,IF(IF(IF(ISERROR('Model inputs'!T7&lt;0),'Model inputs'!T7&lt;0,IF('Model inputs'!T7="","",'Model inputs'!T7&lt;0))="",FALSE,IF(ISERROR('Model inputs'!T7&lt;0),'Model inputs'!T7&lt;0,IF('Model inputs'!T7="","",'Model inputs'!T7&lt;0))),8,IF(IF(IF(ISERROR('Model inputs'!U7&lt;0),'Model inputs'!U7&lt;0,IF('Model inputs'!U7="","",'Model inputs'!U7&lt;0))="",FALSE,IF(ISERROR('Model inputs'!U7&lt;0),'Model inputs'!U7&lt;0,IF('Model inputs'!U7="","",'Model inputs'!U7&lt;0))),9,IF(IF(IF(ISERROR('Model inputs'!V7&lt;0),'Model inputs'!V7&lt;0,IF('Model inputs'!V7="","",'Model inputs'!V7&lt;0))="",FALSE,IF(ISERROR('Model inputs'!V7&lt;0),'Model inputs'!V7&lt;0,IF('Model inputs'!V7="","",'Model inputs'!V7&lt;0))),10,11))))))))))))</f>
        <v>0</v>
      </c>
      <c r="D8" s="9">
        <f>'Nightshift 12-month assumed out'!C8-'Nightshift 12-month assumed out'!B8</f>
        <v>0</v>
      </c>
    </row>
    <row r="9">
      <c r="A9" t="inlineStr" s="5">
        <is>
          <t xml:space="preserve">Assumed runway status</t>
        </is>
      </c>
      <c r="B9" t="str" s="10">
        <f>IF('Nightshift 12-month assumed out'!B8="","Not exhausted inside the 12-month horizon",IF(IF(IF(ISERROR('Nightshift 12-month assumed out'!B8=0),'Nightshift 12-month assumed out'!B8=0,IF('Nightshift 12-month assumed out'!B8="","",'Nightshift 12-month assumed out'!B8=0))="",FALSE,IF(ISERROR('Nightshift 12-month assumed out'!B8=0),'Nightshift 12-month assumed out'!B8=0,IF('Nightshift 12-month assumed out'!B8="","",'Nightshift 12-month assumed out'!B8=0))),"Exhausted in November 2026; November ending cash is negative","Exhausted inside the horizon; runway months counts months before the first negative month"))</f>
        <v>Exhausted in November 2026; November ending cash is negative</v>
      </c>
      <c r="C9" t="str" s="10">
        <f>IF('Nightshift 12-month assumed out'!C8="","Not exhausted inside the 12-month horizon",IF(IF(IF(ISERROR('Nightshift 12-month assumed out'!C8=0),'Nightshift 12-month assumed out'!C8=0,IF('Nightshift 12-month assumed out'!C8="","",'Nightshift 12-month assumed out'!C8=0))="",FALSE,IF(ISERROR('Nightshift 12-month assumed out'!C8=0),'Nightshift 12-month assumed out'!C8=0,IF('Nightshift 12-month assumed out'!C8="","",'Nightshift 12-month assumed out'!C8=0))),"Exhausted in November 2026; November ending cash is negative","Exhausted inside the horizon; runway months counts months before the first negative month"))</f>
        <v>Exhausted in November 2026; November ending cash is negative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dimension ref="A1:Z29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1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12">
        <is>
          <t xml:space="preserve">2026-01</t>
        </is>
      </c>
      <c r="C5" t="inlineStr" s="4">
        <is>
          <t xml:space="preserve">2026-02</t>
        </is>
      </c>
      <c r="D5" t="inlineStr" s="4">
        <is>
          <t xml:space="preserve">2026-03</t>
        </is>
      </c>
      <c r="E5" t="inlineStr" s="12">
        <is>
          <t xml:space="preserve">2026-04</t>
        </is>
      </c>
      <c r="F5" t="inlineStr" s="4">
        <is>
          <t xml:space="preserve">2026-05</t>
        </is>
      </c>
      <c r="G5" t="inlineStr" s="4">
        <is>
          <t xml:space="preserve">2026-06</t>
        </is>
      </c>
      <c r="H5" t="inlineStr" s="12">
        <is>
          <t xml:space="preserve">2026-07</t>
        </is>
      </c>
      <c r="I5" t="inlineStr" s="4">
        <is>
          <t xml:space="preserve">2026-08</t>
        </is>
      </c>
      <c r="J5" t="inlineStr" s="4">
        <is>
          <t xml:space="preserve">2026-09</t>
        </is>
      </c>
      <c r="K5" t="inlineStr" s="12">
        <is>
          <t xml:space="preserve">2026-10</t>
        </is>
      </c>
      <c r="L5" t="inlineStr" s="4">
        <is>
          <t xml:space="preserve">2026-11</t>
        </is>
      </c>
      <c r="M5" t="inlineStr" s="4">
        <is>
          <t xml:space="preserve">2026-12</t>
        </is>
      </c>
      <c r="N5" t="inlineStr" s="12">
        <is>
          <t xml:space="preserve">2027-01</t>
        </is>
      </c>
      <c r="O5" t="inlineStr" s="4">
        <is>
          <t xml:space="preserve">2027-02</t>
        </is>
      </c>
      <c r="P5" t="inlineStr" s="4">
        <is>
          <t xml:space="preserve">2027-03</t>
        </is>
      </c>
      <c r="Q5" t="inlineStr" s="12">
        <is>
          <t xml:space="preserve">2027-04</t>
        </is>
      </c>
      <c r="R5" t="inlineStr" s="4">
        <is>
          <t xml:space="preserve">2027-05</t>
        </is>
      </c>
      <c r="S5" t="inlineStr" s="4">
        <is>
          <t xml:space="preserve">2027-06</t>
        </is>
      </c>
      <c r="T5" t="inlineStr" s="12">
        <is>
          <t xml:space="preserve">2027-07</t>
        </is>
      </c>
      <c r="U5" t="inlineStr" s="4">
        <is>
          <t xml:space="preserve">2027-08</t>
        </is>
      </c>
      <c r="V5" t="inlineStr" s="4">
        <is>
          <t xml:space="preserve">2027-09</t>
        </is>
      </c>
      <c r="W5" t="inlineStr" s="12">
        <is>
          <t xml:space="preserve">2027-10</t>
        </is>
      </c>
      <c r="X5" t="inlineStr" s="4">
        <is>
          <t xml:space="preserve">2027-11</t>
        </is>
      </c>
      <c r="Y5" t="inlineStr" s="4">
        <is>
          <t xml:space="preserve">2027-12</t>
        </is>
      </c>
      <c r="Z5" t="inlineStr" s="4">
        <is>
          <t xml:space="preserve">Value</t>
        </is>
      </c>
    </row>
    <row r="6">
      <c r="A6" t="inlineStr" s="13">
        <is>
          <t xml:space="preserve">Assumed ending cash · Main Scenario</t>
        </is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f>IF(IF(DATE(2026,10,1)=DATE(2026,11,1),IF('Model inputs'!Z22="","",'Model inputs'!Z22),IF('Model inputs'!J6="","",'Model inputs'!J6))="",0,IF(DATE(2026,10,1)=DATE(2026,11,1),IF('Model inputs'!Z22="","",'Model inputs'!Z22),IF('Model inputs'!J6="","",'Model inputs'!J6)))+'Model inputs'!K16</f>
        <v>-25</v>
      </c>
      <c r="L6" s="8">
        <f>IF(IF(DATE(2026,11,1)=DATE(2026,11,1),IF('Model inputs'!Z22="","",'Model inputs'!Z22),IF('Model inputs'!K6="","",'Model inputs'!K6))="",0,IF(DATE(2026,11,1)=DATE(2026,11,1),IF('Model inputs'!Z22="","",'Model inputs'!Z22),IF('Model inputs'!K6="","",'Model inputs'!K6)))+'Model inputs'!L16</f>
        <v>-25</v>
      </c>
      <c r="M6" s="8">
        <f>IF(IF(DATE(2026,12,1)=DATE(2026,11,1),IF('Model inputs'!Z22="","",'Model inputs'!Z22),IF('Model inputs'!L6="","",'Model inputs'!L6))="",0,IF(DATE(2026,12,1)=DATE(2026,11,1),IF('Model inputs'!Z22="","",'Model inputs'!Z22),IF('Model inputs'!L6="","",'Model inputs'!L6)))+'Model inputs'!M16</f>
        <v>927</v>
      </c>
      <c r="N6" s="8">
        <f>IF(IF(DATE(2027,1,1)=DATE(2026,11,1),IF('Model inputs'!Z22="","",'Model inputs'!Z22),IF('Model inputs'!M6="","",'Model inputs'!M6))="",0,IF(DATE(2027,1,1)=DATE(2026,11,1),IF('Model inputs'!Z22="","",'Model inputs'!Z22),IF('Model inputs'!M6="","",'Model inputs'!M6)))+'Model inputs'!N16</f>
        <v>1879</v>
      </c>
      <c r="O6" s="8">
        <f>IF(IF(DATE(2027,2,1)=DATE(2026,11,1),IF('Model inputs'!Z22="","",'Model inputs'!Z22),IF('Model inputs'!N6="","",'Model inputs'!N6))="",0,IF(DATE(2027,2,1)=DATE(2026,11,1),IF('Model inputs'!Z22="","",'Model inputs'!Z22),IF('Model inputs'!N6="","",'Model inputs'!N6)))+'Model inputs'!O16</f>
        <v>2831</v>
      </c>
      <c r="P6" s="8">
        <f>IF(IF(DATE(2027,3,1)=DATE(2026,11,1),IF('Model inputs'!Z22="","",'Model inputs'!Z22),IF('Model inputs'!O6="","",'Model inputs'!O6))="",0,IF(DATE(2027,3,1)=DATE(2026,11,1),IF('Model inputs'!Z22="","",'Model inputs'!Z22),IF('Model inputs'!O6="","",'Model inputs'!O6)))+'Model inputs'!P16</f>
        <v>3783</v>
      </c>
      <c r="Q6" s="8">
        <f>IF(IF(DATE(2027,4,1)=DATE(2026,11,1),IF('Model inputs'!Z22="","",'Model inputs'!Z22),IF('Model inputs'!P6="","",'Model inputs'!P6))="",0,IF(DATE(2027,4,1)=DATE(2026,11,1),IF('Model inputs'!Z22="","",'Model inputs'!Z22),IF('Model inputs'!P6="","",'Model inputs'!P6)))+'Model inputs'!Q16</f>
        <v>4735</v>
      </c>
      <c r="R6" s="8">
        <f>IF(IF(DATE(2027,5,1)=DATE(2026,11,1),IF('Model inputs'!Z22="","",'Model inputs'!Z22),IF('Model inputs'!Q6="","",'Model inputs'!Q6))="",0,IF(DATE(2027,5,1)=DATE(2026,11,1),IF('Model inputs'!Z22="","",'Model inputs'!Z22),IF('Model inputs'!Q6="","",'Model inputs'!Q6)))+'Model inputs'!R16</f>
        <v>5687</v>
      </c>
      <c r="S6" s="8">
        <f>IF(IF(DATE(2027,6,1)=DATE(2026,11,1),IF('Model inputs'!Z22="","",'Model inputs'!Z22),IF('Model inputs'!R6="","",'Model inputs'!R6))="",0,IF(DATE(2027,6,1)=DATE(2026,11,1),IF('Model inputs'!Z22="","",'Model inputs'!Z22),IF('Model inputs'!R6="","",'Model inputs'!R6)))+'Model inputs'!S16</f>
        <v>6639</v>
      </c>
      <c r="T6" s="8">
        <f>IF(IF(DATE(2027,7,1)=DATE(2026,11,1),IF('Model inputs'!Z22="","",'Model inputs'!Z22),IF('Model inputs'!S6="","",'Model inputs'!S6))="",0,IF(DATE(2027,7,1)=DATE(2026,11,1),IF('Model inputs'!Z22="","",'Model inputs'!Z22),IF('Model inputs'!S6="","",'Model inputs'!S6)))+'Model inputs'!T16</f>
        <v>7591</v>
      </c>
      <c r="U6" s="8">
        <f>IF(IF(DATE(2027,8,1)=DATE(2026,11,1),IF('Model inputs'!Z22="","",'Model inputs'!Z22),IF('Model inputs'!T6="","",'Model inputs'!T6))="",0,IF(DATE(2027,8,1)=DATE(2026,11,1),IF('Model inputs'!Z22="","",'Model inputs'!Z22),IF('Model inputs'!T6="","",'Model inputs'!T6)))+'Model inputs'!U16</f>
        <v>8543</v>
      </c>
      <c r="V6" s="8">
        <f>IF(IF(DATE(2027,9,1)=DATE(2026,11,1),IF('Model inputs'!Z22="","",'Model inputs'!Z22),IF('Model inputs'!U6="","",'Model inputs'!U6))="",0,IF(DATE(2027,9,1)=DATE(2026,11,1),IF('Model inputs'!Z22="","",'Model inputs'!Z22),IF('Model inputs'!U6="","",'Model inputs'!U6)))+'Model inputs'!V16</f>
        <v>9495</v>
      </c>
      <c r="W6" s="8">
        <f>IF(IF(DATE(2027,10,1)=DATE(2026,11,1),IF('Model inputs'!Z22="","",'Model inputs'!Z22),IF('Model inputs'!V6="","",'Model inputs'!V6))="",0,IF(DATE(2027,10,1)=DATE(2026,11,1),IF('Model inputs'!Z22="","",'Model inputs'!Z22),IF('Model inputs'!V6="","",'Model inputs'!V6)))+'Model inputs'!W16</f>
        <v>10447</v>
      </c>
      <c r="X6" s="8">
        <f>IF(IF(DATE(2027,11,1)=DATE(2026,11,1),IF('Model inputs'!Z22="","",'Model inputs'!Z22),IF('Model inputs'!W6="","",'Model inputs'!W6))="",0,IF(DATE(2027,11,1)=DATE(2026,11,1),IF('Model inputs'!Z22="","",'Model inputs'!Z22),IF('Model inputs'!W6="","",'Model inputs'!W6)))+'Model inputs'!X16</f>
        <v>10422</v>
      </c>
      <c r="Y6" s="8">
        <f>IF(IF(DATE(2027,12,1)=DATE(2026,11,1),IF('Model inputs'!Z22="","",'Model inputs'!Z22),IF('Model inputs'!X6="","",'Model inputs'!X6))="",0,IF(DATE(2027,12,1)=DATE(2026,11,1),IF('Model inputs'!Z22="","",'Model inputs'!Z22),IF('Model inputs'!X6="","",'Model inputs'!X6)))+'Model inputs'!Y16</f>
        <v>10397</v>
      </c>
    </row>
    <row r="7">
      <c r="A7" t="inlineStr" s="13">
        <is>
          <t xml:space="preserve">Assumed ending cash · Higher price</t>
        </is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f>IF(IF(DATE(2026,10,1)=DATE(2026,11,1),IF('Model inputs'!Z23="","",'Model inputs'!Z23),IF('Model inputs'!J7="","",'Model inputs'!J7))="",0,IF(DATE(2026,10,1)=DATE(2026,11,1),IF('Model inputs'!Z23="","",'Model inputs'!Z23),IF('Model inputs'!J7="","",'Model inputs'!J7)))+'Model inputs'!K17</f>
        <v>-25</v>
      </c>
      <c r="L7" s="8">
        <f>IF(IF(DATE(2026,11,1)=DATE(2026,11,1),IF('Model inputs'!Z23="","",'Model inputs'!Z23),IF('Model inputs'!K7="","",'Model inputs'!K7))="",0,IF(DATE(2026,11,1)=DATE(2026,11,1),IF('Model inputs'!Z23="","",'Model inputs'!Z23),IF('Model inputs'!K7="","",'Model inputs'!K7)))+'Model inputs'!L17</f>
        <v>-25</v>
      </c>
      <c r="M7" s="8">
        <f>IF(IF(DATE(2026,12,1)=DATE(2026,11,1),IF('Model inputs'!Z23="","",'Model inputs'!Z23),IF('Model inputs'!L7="","",'Model inputs'!L7))="",0,IF(DATE(2026,12,1)=DATE(2026,11,1),IF('Model inputs'!Z23="","",'Model inputs'!Z23),IF('Model inputs'!L7="","",'Model inputs'!L7)))+'Model inputs'!M17</f>
        <v>1527</v>
      </c>
      <c r="N7" s="8">
        <f>IF(IF(DATE(2027,1,1)=DATE(2026,11,1),IF('Model inputs'!Z23="","",'Model inputs'!Z23),IF('Model inputs'!M7="","",'Model inputs'!M7))="",0,IF(DATE(2027,1,1)=DATE(2026,11,1),IF('Model inputs'!Z23="","",'Model inputs'!Z23),IF('Model inputs'!M7="","",'Model inputs'!M7)))+'Model inputs'!N17</f>
        <v>3079</v>
      </c>
      <c r="O7" s="8">
        <f>IF(IF(DATE(2027,2,1)=DATE(2026,11,1),IF('Model inputs'!Z23="","",'Model inputs'!Z23),IF('Model inputs'!N7="","",'Model inputs'!N7))="",0,IF(DATE(2027,2,1)=DATE(2026,11,1),IF('Model inputs'!Z23="","",'Model inputs'!Z23),IF('Model inputs'!N7="","",'Model inputs'!N7)))+'Model inputs'!O17</f>
        <v>4631</v>
      </c>
      <c r="P7" s="8">
        <f>IF(IF(DATE(2027,3,1)=DATE(2026,11,1),IF('Model inputs'!Z23="","",'Model inputs'!Z23),IF('Model inputs'!O7="","",'Model inputs'!O7))="",0,IF(DATE(2027,3,1)=DATE(2026,11,1),IF('Model inputs'!Z23="","",'Model inputs'!Z23),IF('Model inputs'!O7="","",'Model inputs'!O7)))+'Model inputs'!P17</f>
        <v>6183</v>
      </c>
      <c r="Q7" s="8">
        <f>IF(IF(DATE(2027,4,1)=DATE(2026,11,1),IF('Model inputs'!Z23="","",'Model inputs'!Z23),IF('Model inputs'!P7="","",'Model inputs'!P7))="",0,IF(DATE(2027,4,1)=DATE(2026,11,1),IF('Model inputs'!Z23="","",'Model inputs'!Z23),IF('Model inputs'!P7="","",'Model inputs'!P7)))+'Model inputs'!Q17</f>
        <v>7735</v>
      </c>
      <c r="R7" s="8">
        <f>IF(IF(DATE(2027,5,1)=DATE(2026,11,1),IF('Model inputs'!Z23="","",'Model inputs'!Z23),IF('Model inputs'!Q7="","",'Model inputs'!Q7))="",0,IF(DATE(2027,5,1)=DATE(2026,11,1),IF('Model inputs'!Z23="","",'Model inputs'!Z23),IF('Model inputs'!Q7="","",'Model inputs'!Q7)))+'Model inputs'!R17</f>
        <v>9287</v>
      </c>
      <c r="S7" s="8">
        <f>IF(IF(DATE(2027,6,1)=DATE(2026,11,1),IF('Model inputs'!Z23="","",'Model inputs'!Z23),IF('Model inputs'!R7="","",'Model inputs'!R7))="",0,IF(DATE(2027,6,1)=DATE(2026,11,1),IF('Model inputs'!Z23="","",'Model inputs'!Z23),IF('Model inputs'!R7="","",'Model inputs'!R7)))+'Model inputs'!S17</f>
        <v>10839</v>
      </c>
      <c r="T7" s="8">
        <f>IF(IF(DATE(2027,7,1)=DATE(2026,11,1),IF('Model inputs'!Z23="","",'Model inputs'!Z23),IF('Model inputs'!S7="","",'Model inputs'!S7))="",0,IF(DATE(2027,7,1)=DATE(2026,11,1),IF('Model inputs'!Z23="","",'Model inputs'!Z23),IF('Model inputs'!S7="","",'Model inputs'!S7)))+'Model inputs'!T17</f>
        <v>12391</v>
      </c>
      <c r="U7" s="8">
        <f>IF(IF(DATE(2027,8,1)=DATE(2026,11,1),IF('Model inputs'!Z23="","",'Model inputs'!Z23),IF('Model inputs'!T7="","",'Model inputs'!T7))="",0,IF(DATE(2027,8,1)=DATE(2026,11,1),IF('Model inputs'!Z23="","",'Model inputs'!Z23),IF('Model inputs'!T7="","",'Model inputs'!T7)))+'Model inputs'!U17</f>
        <v>13943</v>
      </c>
      <c r="V7" s="8">
        <f>IF(IF(DATE(2027,9,1)=DATE(2026,11,1),IF('Model inputs'!Z23="","",'Model inputs'!Z23),IF('Model inputs'!U7="","",'Model inputs'!U7))="",0,IF(DATE(2027,9,1)=DATE(2026,11,1),IF('Model inputs'!Z23="","",'Model inputs'!Z23),IF('Model inputs'!U7="","",'Model inputs'!U7)))+'Model inputs'!V17</f>
        <v>15495</v>
      </c>
      <c r="W7" s="8">
        <f>IF(IF(DATE(2027,10,1)=DATE(2026,11,1),IF('Model inputs'!Z23="","",'Model inputs'!Z23),IF('Model inputs'!V7="","",'Model inputs'!V7))="",0,IF(DATE(2027,10,1)=DATE(2026,11,1),IF('Model inputs'!Z23="","",'Model inputs'!Z23),IF('Model inputs'!V7="","",'Model inputs'!V7)))+'Model inputs'!W17</f>
        <v>17047</v>
      </c>
      <c r="X7" s="8">
        <f>IF(IF(DATE(2027,11,1)=DATE(2026,11,1),IF('Model inputs'!Z23="","",'Model inputs'!Z23),IF('Model inputs'!W7="","",'Model inputs'!W7))="",0,IF(DATE(2027,11,1)=DATE(2026,11,1),IF('Model inputs'!Z23="","",'Model inputs'!Z23),IF('Model inputs'!W7="","",'Model inputs'!W7)))+'Model inputs'!X17</f>
        <v>17022</v>
      </c>
      <c r="Y7" s="8">
        <f>IF(IF(DATE(2027,12,1)=DATE(2026,11,1),IF('Model inputs'!Z23="","",'Model inputs'!Z23),IF('Model inputs'!X7="","",'Model inputs'!X7))="",0,IF(DATE(2027,12,1)=DATE(2026,11,1),IF('Model inputs'!Z23="","",'Model inputs'!Z23),IF('Model inputs'!X7="","",'Model inputs'!X7)))+'Model inputs'!Y17</f>
        <v>16997</v>
      </c>
    </row>
    <row r="8">
      <c r="A8" t="inlineStr" s="13">
        <is>
          <t xml:space="preserve">Assumed revenue · Main Scenario</t>
        </is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f>'Model inputs'!K20*'Model inputs'!K18</f>
        <v>0</v>
      </c>
      <c r="L8" s="8">
        <f>'Model inputs'!L20*'Model inputs'!L18</f>
        <v>0</v>
      </c>
      <c r="M8" s="8">
        <f>'Model inputs'!M20*'Model inputs'!M18</f>
        <v>980</v>
      </c>
      <c r="N8" s="8">
        <f>'Model inputs'!N20*'Model inputs'!N18</f>
        <v>980</v>
      </c>
      <c r="O8" s="8">
        <f>'Model inputs'!O20*'Model inputs'!O18</f>
        <v>980</v>
      </c>
      <c r="P8" s="8">
        <f>'Model inputs'!P20*'Model inputs'!P18</f>
        <v>980</v>
      </c>
      <c r="Q8" s="8">
        <f>'Model inputs'!Q20*'Model inputs'!Q18</f>
        <v>980</v>
      </c>
      <c r="R8" s="8">
        <f>'Model inputs'!R20*'Model inputs'!R18</f>
        <v>980</v>
      </c>
      <c r="S8" s="8">
        <f>'Model inputs'!S20*'Model inputs'!S18</f>
        <v>980</v>
      </c>
      <c r="T8" s="8">
        <f>'Model inputs'!T20*'Model inputs'!T18</f>
        <v>980</v>
      </c>
      <c r="U8" s="8">
        <f>'Model inputs'!U20*'Model inputs'!U18</f>
        <v>980</v>
      </c>
      <c r="V8" s="8">
        <f>'Model inputs'!V20*'Model inputs'!V18</f>
        <v>980</v>
      </c>
      <c r="W8" s="8">
        <f>'Model inputs'!W20*'Model inputs'!W18</f>
        <v>980</v>
      </c>
      <c r="X8" s="8">
        <f>'Model inputs'!X20*'Model inputs'!X18</f>
        <v>0</v>
      </c>
      <c r="Y8" s="8">
        <f>'Model inputs'!Y20*'Model inputs'!Y18</f>
        <v>0</v>
      </c>
    </row>
    <row r="9">
      <c r="A9" t="inlineStr" s="13">
        <is>
          <t xml:space="preserve">Assumed revenue · Higher price</t>
        </is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f>'Model inputs'!K21*'Model inputs'!K19</f>
        <v>0</v>
      </c>
      <c r="L9" s="8">
        <f>'Model inputs'!L21*'Model inputs'!L19</f>
        <v>0</v>
      </c>
      <c r="M9" s="8">
        <f>'Model inputs'!M21*'Model inputs'!M19</f>
        <v>1580</v>
      </c>
      <c r="N9" s="8">
        <f>'Model inputs'!N21*'Model inputs'!N19</f>
        <v>1580</v>
      </c>
      <c r="O9" s="8">
        <f>'Model inputs'!O21*'Model inputs'!O19</f>
        <v>1580</v>
      </c>
      <c r="P9" s="8">
        <f>'Model inputs'!P21*'Model inputs'!P19</f>
        <v>1580</v>
      </c>
      <c r="Q9" s="8">
        <f>'Model inputs'!Q21*'Model inputs'!Q19</f>
        <v>1580</v>
      </c>
      <c r="R9" s="8">
        <f>'Model inputs'!R21*'Model inputs'!R19</f>
        <v>1580</v>
      </c>
      <c r="S9" s="8">
        <f>'Model inputs'!S21*'Model inputs'!S19</f>
        <v>1580</v>
      </c>
      <c r="T9" s="8">
        <f>'Model inputs'!T21*'Model inputs'!T19</f>
        <v>1580</v>
      </c>
      <c r="U9" s="8">
        <f>'Model inputs'!U21*'Model inputs'!U19</f>
        <v>1580</v>
      </c>
      <c r="V9" s="8">
        <f>'Model inputs'!V21*'Model inputs'!V19</f>
        <v>1580</v>
      </c>
      <c r="W9" s="8">
        <f>'Model inputs'!W21*'Model inputs'!W19</f>
        <v>1580</v>
      </c>
      <c r="X9" s="8">
        <f>'Model inputs'!X21*'Model inputs'!X19</f>
        <v>0</v>
      </c>
      <c r="Y9" s="8">
        <f>'Model inputs'!Y21*'Model inputs'!Y19</f>
        <v>0</v>
      </c>
    </row>
    <row r="10">
      <c r="A10" t="inlineStr" s="13">
        <is>
          <t xml:space="preserve">Assumed total cost · Main Scenario</t>
        </is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f>'Model inputs'!K14+'Model inputs'!K12</f>
        <v>25</v>
      </c>
      <c r="L10" s="8">
        <f>'Model inputs'!L14+'Model inputs'!L12</f>
        <v>25</v>
      </c>
      <c r="M10" s="8">
        <f>'Model inputs'!M14+'Model inputs'!M12</f>
        <v>28</v>
      </c>
      <c r="N10" s="8">
        <f>'Model inputs'!N14+'Model inputs'!N12</f>
        <v>28</v>
      </c>
      <c r="O10" s="8">
        <f>'Model inputs'!O14+'Model inputs'!O12</f>
        <v>28</v>
      </c>
      <c r="P10" s="8">
        <f>'Model inputs'!P14+'Model inputs'!P12</f>
        <v>28</v>
      </c>
      <c r="Q10" s="8">
        <f>'Model inputs'!Q14+'Model inputs'!Q12</f>
        <v>28</v>
      </c>
      <c r="R10" s="8">
        <f>'Model inputs'!R14+'Model inputs'!R12</f>
        <v>28</v>
      </c>
      <c r="S10" s="8">
        <f>'Model inputs'!S14+'Model inputs'!S12</f>
        <v>28</v>
      </c>
      <c r="T10" s="8">
        <f>'Model inputs'!T14+'Model inputs'!T12</f>
        <v>28</v>
      </c>
      <c r="U10" s="8">
        <f>'Model inputs'!U14+'Model inputs'!U12</f>
        <v>28</v>
      </c>
      <c r="V10" s="8">
        <f>'Model inputs'!V14+'Model inputs'!V12</f>
        <v>28</v>
      </c>
      <c r="W10" s="8">
        <f>'Model inputs'!W14+'Model inputs'!W12</f>
        <v>28</v>
      </c>
      <c r="X10" s="8">
        <f>'Model inputs'!X14+'Model inputs'!X12</f>
        <v>25</v>
      </c>
      <c r="Y10" s="8">
        <f>'Model inputs'!Y14+'Model inputs'!Y12</f>
        <v>25</v>
      </c>
    </row>
    <row r="11">
      <c r="A11" t="inlineStr" s="13">
        <is>
          <t xml:space="preserve">Assumed total cost · Higher price</t>
        </is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f>'Model inputs'!K15+'Model inputs'!K13</f>
        <v>25</v>
      </c>
      <c r="L11" s="8">
        <f>'Model inputs'!L15+'Model inputs'!L13</f>
        <v>25</v>
      </c>
      <c r="M11" s="8">
        <f>'Model inputs'!M15+'Model inputs'!M13</f>
        <v>28</v>
      </c>
      <c r="N11" s="8">
        <f>'Model inputs'!N15+'Model inputs'!N13</f>
        <v>28</v>
      </c>
      <c r="O11" s="8">
        <f>'Model inputs'!O15+'Model inputs'!O13</f>
        <v>28</v>
      </c>
      <c r="P11" s="8">
        <f>'Model inputs'!P15+'Model inputs'!P13</f>
        <v>28</v>
      </c>
      <c r="Q11" s="8">
        <f>'Model inputs'!Q15+'Model inputs'!Q13</f>
        <v>28</v>
      </c>
      <c r="R11" s="8">
        <f>'Model inputs'!R15+'Model inputs'!R13</f>
        <v>28</v>
      </c>
      <c r="S11" s="8">
        <f>'Model inputs'!S15+'Model inputs'!S13</f>
        <v>28</v>
      </c>
      <c r="T11" s="8">
        <f>'Model inputs'!T15+'Model inputs'!T13</f>
        <v>28</v>
      </c>
      <c r="U11" s="8">
        <f>'Model inputs'!U15+'Model inputs'!U13</f>
        <v>28</v>
      </c>
      <c r="V11" s="8">
        <f>'Model inputs'!V15+'Model inputs'!V13</f>
        <v>28</v>
      </c>
      <c r="W11" s="8">
        <f>'Model inputs'!W15+'Model inputs'!W13</f>
        <v>28</v>
      </c>
      <c r="X11" s="8">
        <f>'Model inputs'!X15+'Model inputs'!X13</f>
        <v>25</v>
      </c>
      <c r="Y11" s="8">
        <f>'Model inputs'!Y15+'Model inputs'!Y13</f>
        <v>25</v>
      </c>
    </row>
    <row r="12">
      <c r="A12" t="inlineStr" s="13">
        <is>
          <t xml:space="preserve">Assumed infrastructure · Assumed total cost · Main Scenario · Main Scenario</t>
        </is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f>IF('Model inputs'!Z26="","",'Model inputs'!Z26)</f>
        <v>25</v>
      </c>
      <c r="L12" s="8">
        <f>IF('Model inputs'!Z26="","",'Model inputs'!Z26)</f>
        <v>25</v>
      </c>
      <c r="M12" s="8">
        <f>IF('Model inputs'!Z26="","",'Model inputs'!Z26)</f>
        <v>25</v>
      </c>
      <c r="N12" s="8">
        <f>IF('Model inputs'!Z26="","",'Model inputs'!Z26)</f>
        <v>25</v>
      </c>
      <c r="O12" s="8">
        <f>IF('Model inputs'!Z26="","",'Model inputs'!Z26)</f>
        <v>25</v>
      </c>
      <c r="P12" s="8">
        <f>IF('Model inputs'!Z26="","",'Model inputs'!Z26)</f>
        <v>25</v>
      </c>
      <c r="Q12" s="8">
        <f>IF('Model inputs'!Z26="","",'Model inputs'!Z26)</f>
        <v>25</v>
      </c>
      <c r="R12" s="8">
        <f>IF('Model inputs'!Z26="","",'Model inputs'!Z26)</f>
        <v>25</v>
      </c>
      <c r="S12" s="8">
        <f>IF('Model inputs'!Z26="","",'Model inputs'!Z26)</f>
        <v>25</v>
      </c>
      <c r="T12" s="8">
        <f>IF('Model inputs'!Z26="","",'Model inputs'!Z26)</f>
        <v>25</v>
      </c>
      <c r="U12" s="8">
        <f>IF('Model inputs'!Z26="","",'Model inputs'!Z26)</f>
        <v>25</v>
      </c>
      <c r="V12" s="8">
        <f>IF('Model inputs'!Z26="","",'Model inputs'!Z26)</f>
        <v>25</v>
      </c>
      <c r="W12" s="8">
        <f>IF('Model inputs'!Z26="","",'Model inputs'!Z26)</f>
        <v>25</v>
      </c>
      <c r="X12" s="8">
        <f>IF('Model inputs'!Z26="","",'Model inputs'!Z26)</f>
        <v>25</v>
      </c>
      <c r="Y12" s="8">
        <f>IF('Model inputs'!Z26="","",'Model inputs'!Z26)</f>
        <v>25</v>
      </c>
    </row>
    <row r="13">
      <c r="A13" t="inlineStr" s="13">
        <is>
          <t xml:space="preserve">Assumed infrastructure · Assumed total cost · Higher price · Higher price</t>
        </is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f>IF('Model inputs'!Z27="","",'Model inputs'!Z27)</f>
        <v>25</v>
      </c>
      <c r="L13" s="8">
        <f>IF('Model inputs'!Z27="","",'Model inputs'!Z27)</f>
        <v>25</v>
      </c>
      <c r="M13" s="8">
        <f>IF('Model inputs'!Z27="","",'Model inputs'!Z27)</f>
        <v>25</v>
      </c>
      <c r="N13" s="8">
        <f>IF('Model inputs'!Z27="","",'Model inputs'!Z27)</f>
        <v>25</v>
      </c>
      <c r="O13" s="8">
        <f>IF('Model inputs'!Z27="","",'Model inputs'!Z27)</f>
        <v>25</v>
      </c>
      <c r="P13" s="8">
        <f>IF('Model inputs'!Z27="","",'Model inputs'!Z27)</f>
        <v>25</v>
      </c>
      <c r="Q13" s="8">
        <f>IF('Model inputs'!Z27="","",'Model inputs'!Z27)</f>
        <v>25</v>
      </c>
      <c r="R13" s="8">
        <f>IF('Model inputs'!Z27="","",'Model inputs'!Z27)</f>
        <v>25</v>
      </c>
      <c r="S13" s="8">
        <f>IF('Model inputs'!Z27="","",'Model inputs'!Z27)</f>
        <v>25</v>
      </c>
      <c r="T13" s="8">
        <f>IF('Model inputs'!Z27="","",'Model inputs'!Z27)</f>
        <v>25</v>
      </c>
      <c r="U13" s="8">
        <f>IF('Model inputs'!Z27="","",'Model inputs'!Z27)</f>
        <v>25</v>
      </c>
      <c r="V13" s="8">
        <f>IF('Model inputs'!Z27="","",'Model inputs'!Z27)</f>
        <v>25</v>
      </c>
      <c r="W13" s="8">
        <f>IF('Model inputs'!Z27="","",'Model inputs'!Z27)</f>
        <v>25</v>
      </c>
      <c r="X13" s="8">
        <f>IF('Model inputs'!Z27="","",'Model inputs'!Z27)</f>
        <v>25</v>
      </c>
      <c r="Y13" s="8">
        <f>IF('Model inputs'!Z27="","",'Model inputs'!Z27)</f>
        <v>25</v>
      </c>
    </row>
    <row r="14">
      <c r="A14" t="inlineStr" s="13">
        <is>
          <t xml:space="preserve">Assumed model cost · Assumed total cost · Main Scenario · Main Scenario</t>
        </is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f>'Model inputs'!Z24*'Model inputs'!K18</f>
        <v>0</v>
      </c>
      <c r="L14" s="8">
        <f>'Model inputs'!Z24*'Model inputs'!L18</f>
        <v>0</v>
      </c>
      <c r="M14" s="8">
        <f>'Model inputs'!Z24*'Model inputs'!M18</f>
        <v>3</v>
      </c>
      <c r="N14" s="8">
        <f>'Model inputs'!Z24*'Model inputs'!N18</f>
        <v>3</v>
      </c>
      <c r="O14" s="8">
        <f>'Model inputs'!Z24*'Model inputs'!O18</f>
        <v>3</v>
      </c>
      <c r="P14" s="8">
        <f>'Model inputs'!Z24*'Model inputs'!P18</f>
        <v>3</v>
      </c>
      <c r="Q14" s="8">
        <f>'Model inputs'!Z24*'Model inputs'!Q18</f>
        <v>3</v>
      </c>
      <c r="R14" s="8">
        <f>'Model inputs'!Z24*'Model inputs'!R18</f>
        <v>3</v>
      </c>
      <c r="S14" s="8">
        <f>'Model inputs'!Z24*'Model inputs'!S18</f>
        <v>3</v>
      </c>
      <c r="T14" s="8">
        <f>'Model inputs'!Z24*'Model inputs'!T18</f>
        <v>3</v>
      </c>
      <c r="U14" s="8">
        <f>'Model inputs'!Z24*'Model inputs'!U18</f>
        <v>3</v>
      </c>
      <c r="V14" s="8">
        <f>'Model inputs'!Z24*'Model inputs'!V18</f>
        <v>3</v>
      </c>
      <c r="W14" s="8">
        <f>'Model inputs'!Z24*'Model inputs'!W18</f>
        <v>3</v>
      </c>
      <c r="X14" s="8">
        <f>'Model inputs'!Z24*'Model inputs'!X18</f>
        <v>0</v>
      </c>
      <c r="Y14" s="8">
        <f>'Model inputs'!Z24*'Model inputs'!Y18</f>
        <v>0</v>
      </c>
    </row>
    <row r="15">
      <c r="A15" t="inlineStr" s="13">
        <is>
          <t xml:space="preserve">Assumed model cost · Assumed total cost · Higher price · Higher price</t>
        </is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f>'Model inputs'!Z25*'Model inputs'!K19</f>
        <v>0</v>
      </c>
      <c r="L15" s="8">
        <f>'Model inputs'!Z25*'Model inputs'!L19</f>
        <v>0</v>
      </c>
      <c r="M15" s="8">
        <f>'Model inputs'!Z25*'Model inputs'!M19</f>
        <v>3</v>
      </c>
      <c r="N15" s="8">
        <f>'Model inputs'!Z25*'Model inputs'!N19</f>
        <v>3</v>
      </c>
      <c r="O15" s="8">
        <f>'Model inputs'!Z25*'Model inputs'!O19</f>
        <v>3</v>
      </c>
      <c r="P15" s="8">
        <f>'Model inputs'!Z25*'Model inputs'!P19</f>
        <v>3</v>
      </c>
      <c r="Q15" s="8">
        <f>'Model inputs'!Z25*'Model inputs'!Q19</f>
        <v>3</v>
      </c>
      <c r="R15" s="8">
        <f>'Model inputs'!Z25*'Model inputs'!R19</f>
        <v>3</v>
      </c>
      <c r="S15" s="8">
        <f>'Model inputs'!Z25*'Model inputs'!S19</f>
        <v>3</v>
      </c>
      <c r="T15" s="8">
        <f>'Model inputs'!Z25*'Model inputs'!T19</f>
        <v>3</v>
      </c>
      <c r="U15" s="8">
        <f>'Model inputs'!Z25*'Model inputs'!U19</f>
        <v>3</v>
      </c>
      <c r="V15" s="8">
        <f>'Model inputs'!Z25*'Model inputs'!V19</f>
        <v>3</v>
      </c>
      <c r="W15" s="8">
        <f>'Model inputs'!Z25*'Model inputs'!W19</f>
        <v>3</v>
      </c>
      <c r="X15" s="8">
        <f>'Model inputs'!Z25*'Model inputs'!X19</f>
        <v>0</v>
      </c>
      <c r="Y15" s="8">
        <f>'Model inputs'!Z25*'Model inputs'!Y19</f>
        <v>0</v>
      </c>
    </row>
    <row r="16">
      <c r="A16" t="inlineStr" s="13">
        <is>
          <t xml:space="preserve">Assumed operating result · Assumed ending cash · Main Scenario · Main Scenario</t>
        </is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f>'Model inputs'!K8-'Model inputs'!K10</f>
        <v>-25</v>
      </c>
      <c r="L16" s="8">
        <f>'Model inputs'!L8-'Model inputs'!L10</f>
        <v>-25</v>
      </c>
      <c r="M16" s="8">
        <f>'Model inputs'!M8-'Model inputs'!M10</f>
        <v>952</v>
      </c>
      <c r="N16" s="8">
        <f>'Model inputs'!N8-'Model inputs'!N10</f>
        <v>952</v>
      </c>
      <c r="O16" s="8">
        <f>'Model inputs'!O8-'Model inputs'!O10</f>
        <v>952</v>
      </c>
      <c r="P16" s="8">
        <f>'Model inputs'!P8-'Model inputs'!P10</f>
        <v>952</v>
      </c>
      <c r="Q16" s="8">
        <f>'Model inputs'!Q8-'Model inputs'!Q10</f>
        <v>952</v>
      </c>
      <c r="R16" s="8">
        <f>'Model inputs'!R8-'Model inputs'!R10</f>
        <v>952</v>
      </c>
      <c r="S16" s="8">
        <f>'Model inputs'!S8-'Model inputs'!S10</f>
        <v>952</v>
      </c>
      <c r="T16" s="8">
        <f>'Model inputs'!T8-'Model inputs'!T10</f>
        <v>952</v>
      </c>
      <c r="U16" s="8">
        <f>'Model inputs'!U8-'Model inputs'!U10</f>
        <v>952</v>
      </c>
      <c r="V16" s="8">
        <f>'Model inputs'!V8-'Model inputs'!V10</f>
        <v>952</v>
      </c>
      <c r="W16" s="8">
        <f>'Model inputs'!W8-'Model inputs'!W10</f>
        <v>952</v>
      </c>
      <c r="X16" s="8">
        <f>'Model inputs'!X8-'Model inputs'!X10</f>
        <v>-25</v>
      </c>
      <c r="Y16" s="8">
        <f>'Model inputs'!Y8-'Model inputs'!Y10</f>
        <v>-25</v>
      </c>
    </row>
    <row r="17">
      <c r="A17" t="inlineStr" s="13">
        <is>
          <t xml:space="preserve">Assumed operating result · Assumed ending cash · Higher price · Higher price</t>
        </is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f>'Model inputs'!K9-'Model inputs'!K11</f>
        <v>-25</v>
      </c>
      <c r="L17" s="8">
        <f>'Model inputs'!L9-'Model inputs'!L11</f>
        <v>-25</v>
      </c>
      <c r="M17" s="8">
        <f>'Model inputs'!M9-'Model inputs'!M11</f>
        <v>1552</v>
      </c>
      <c r="N17" s="8">
        <f>'Model inputs'!N9-'Model inputs'!N11</f>
        <v>1552</v>
      </c>
      <c r="O17" s="8">
        <f>'Model inputs'!O9-'Model inputs'!O11</f>
        <v>1552</v>
      </c>
      <c r="P17" s="8">
        <f>'Model inputs'!P9-'Model inputs'!P11</f>
        <v>1552</v>
      </c>
      <c r="Q17" s="8">
        <f>'Model inputs'!Q9-'Model inputs'!Q11</f>
        <v>1552</v>
      </c>
      <c r="R17" s="8">
        <f>'Model inputs'!R9-'Model inputs'!R11</f>
        <v>1552</v>
      </c>
      <c r="S17" s="8">
        <f>'Model inputs'!S9-'Model inputs'!S11</f>
        <v>1552</v>
      </c>
      <c r="T17" s="8">
        <f>'Model inputs'!T9-'Model inputs'!T11</f>
        <v>1552</v>
      </c>
      <c r="U17" s="8">
        <f>'Model inputs'!U9-'Model inputs'!U11</f>
        <v>1552</v>
      </c>
      <c r="V17" s="8">
        <f>'Model inputs'!V9-'Model inputs'!V11</f>
        <v>1552</v>
      </c>
      <c r="W17" s="8">
        <f>'Model inputs'!W9-'Model inputs'!W11</f>
        <v>1552</v>
      </c>
      <c r="X17" s="8">
        <f>'Model inputs'!X9-'Model inputs'!X11</f>
        <v>-25</v>
      </c>
      <c r="Y17" s="8">
        <f>'Model inputs'!Y9-'Model inputs'!Y11</f>
        <v>-25</v>
      </c>
    </row>
    <row r="18">
      <c r="A18" t="inlineStr" s="13">
        <is>
          <t xml:space="preserve">Assumed paid runs · Assumed revenue · Main Scenario · Main Scenario</t>
        </is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f>0</f>
        <v>0</v>
      </c>
      <c r="M18" s="9">
        <f>20</f>
        <v>20</v>
      </c>
      <c r="N18" s="9">
        <f>20</f>
        <v>20</v>
      </c>
      <c r="O18" s="9">
        <f>20</f>
        <v>20</v>
      </c>
      <c r="P18" s="9">
        <f>20</f>
        <v>20</v>
      </c>
      <c r="Q18" s="9">
        <f>20</f>
        <v>20</v>
      </c>
      <c r="R18" s="9">
        <f>20</f>
        <v>20</v>
      </c>
      <c r="S18" s="9">
        <f>20</f>
        <v>20</v>
      </c>
      <c r="T18" s="9">
        <f>20</f>
        <v>20</v>
      </c>
      <c r="U18" s="9">
        <f>20</f>
        <v>20</v>
      </c>
      <c r="V18" s="9">
        <f>20</f>
        <v>20</v>
      </c>
      <c r="W18" s="9">
        <f>20</f>
        <v>20</v>
      </c>
      <c r="X18" s="9">
        <v>0</v>
      </c>
      <c r="Y18" s="9">
        <v>0</v>
      </c>
    </row>
    <row r="19">
      <c r="A19" t="inlineStr" s="13">
        <is>
          <t xml:space="preserve">Assumed paid runs · Assumed revenue · Higher price · Higher price</t>
        </is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f>'Model inputs'!L18</f>
        <v>0</v>
      </c>
      <c r="M19" s="9">
        <f>'Model inputs'!M18</f>
        <v>20</v>
      </c>
      <c r="N19" s="9">
        <f>'Model inputs'!N18</f>
        <v>20</v>
      </c>
      <c r="O19" s="9">
        <f>'Model inputs'!O18</f>
        <v>20</v>
      </c>
      <c r="P19" s="9">
        <f>'Model inputs'!P18</f>
        <v>20</v>
      </c>
      <c r="Q19" s="9">
        <f>'Model inputs'!Q18</f>
        <v>20</v>
      </c>
      <c r="R19" s="9">
        <f>'Model inputs'!R18</f>
        <v>20</v>
      </c>
      <c r="S19" s="9">
        <f>'Model inputs'!S18</f>
        <v>20</v>
      </c>
      <c r="T19" s="9">
        <f>'Model inputs'!T18</f>
        <v>20</v>
      </c>
      <c r="U19" s="9">
        <f>'Model inputs'!U18</f>
        <v>20</v>
      </c>
      <c r="V19" s="9">
        <f>'Model inputs'!V18</f>
        <v>20</v>
      </c>
      <c r="W19" s="9">
        <f>'Model inputs'!W18</f>
        <v>20</v>
      </c>
      <c r="X19" s="9">
        <v>0</v>
      </c>
      <c r="Y19" s="9">
        <v>0</v>
      </c>
    </row>
    <row r="20">
      <c r="A20" t="inlineStr" s="13">
        <is>
          <t xml:space="preserve">Assumed price · Assumed revenue · Main Scenario · Main Scenario</t>
        </is>
      </c>
      <c r="B20" s="8">
        <f>IF('Model inputs'!Z28="","",'Model inputs'!Z28)</f>
        <v>49</v>
      </c>
      <c r="C20" s="8">
        <f>IF('Model inputs'!Z28="","",'Model inputs'!Z28)</f>
        <v>49</v>
      </c>
      <c r="D20" s="8">
        <f>IF('Model inputs'!Z28="","",'Model inputs'!Z28)</f>
        <v>49</v>
      </c>
      <c r="E20" s="8">
        <f>IF('Model inputs'!Z28="","",'Model inputs'!Z28)</f>
        <v>49</v>
      </c>
      <c r="F20" s="8">
        <f>IF('Model inputs'!Z28="","",'Model inputs'!Z28)</f>
        <v>49</v>
      </c>
      <c r="G20" s="8">
        <f>IF('Model inputs'!Z28="","",'Model inputs'!Z28)</f>
        <v>49</v>
      </c>
      <c r="H20" s="8">
        <f>IF('Model inputs'!Z28="","",'Model inputs'!Z28)</f>
        <v>49</v>
      </c>
      <c r="I20" s="8">
        <f>IF('Model inputs'!Z28="","",'Model inputs'!Z28)</f>
        <v>49</v>
      </c>
      <c r="J20" s="8">
        <f>IF('Model inputs'!Z28="","",'Model inputs'!Z28)</f>
        <v>49</v>
      </c>
      <c r="K20" s="8">
        <f>IF('Model inputs'!Z28="","",'Model inputs'!Z28)</f>
        <v>49</v>
      </c>
      <c r="L20" s="8">
        <f>IF('Model inputs'!Z28="","",'Model inputs'!Z28)</f>
        <v>49</v>
      </c>
      <c r="M20" s="8">
        <f>IF('Model inputs'!Z28="","",'Model inputs'!Z28)</f>
        <v>49</v>
      </c>
      <c r="N20" s="8">
        <f>IF('Model inputs'!Z28="","",'Model inputs'!Z28)</f>
        <v>49</v>
      </c>
      <c r="O20" s="8">
        <f>IF('Model inputs'!Z28="","",'Model inputs'!Z28)</f>
        <v>49</v>
      </c>
      <c r="P20" s="8">
        <f>IF('Model inputs'!Z28="","",'Model inputs'!Z28)</f>
        <v>49</v>
      </c>
      <c r="Q20" s="8">
        <f>IF('Model inputs'!Z28="","",'Model inputs'!Z28)</f>
        <v>49</v>
      </c>
      <c r="R20" s="8">
        <f>IF('Model inputs'!Z28="","",'Model inputs'!Z28)</f>
        <v>49</v>
      </c>
      <c r="S20" s="8">
        <f>IF('Model inputs'!Z28="","",'Model inputs'!Z28)</f>
        <v>49</v>
      </c>
      <c r="T20" s="8">
        <f>IF('Model inputs'!Z28="","",'Model inputs'!Z28)</f>
        <v>49</v>
      </c>
      <c r="U20" s="8">
        <f>IF('Model inputs'!Z28="","",'Model inputs'!Z28)</f>
        <v>49</v>
      </c>
      <c r="V20" s="8">
        <f>IF('Model inputs'!Z28="","",'Model inputs'!Z28)</f>
        <v>49</v>
      </c>
      <c r="W20" s="8">
        <f>IF('Model inputs'!Z28="","",'Model inputs'!Z28)</f>
        <v>49</v>
      </c>
      <c r="X20" s="8">
        <f>IF('Model inputs'!Z28="","",'Model inputs'!Z28)</f>
        <v>49</v>
      </c>
      <c r="Y20" s="8">
        <f>IF('Model inputs'!Z28="","",'Model inputs'!Z28)</f>
        <v>49</v>
      </c>
    </row>
    <row r="21">
      <c r="A21" t="inlineStr" s="13">
        <is>
          <t xml:space="preserve">Assumed price · Assumed revenue · Higher price · Higher price</t>
        </is>
      </c>
      <c r="B21" s="8">
        <f>IF('Model inputs'!Z29="","",'Model inputs'!Z29)</f>
        <v>79</v>
      </c>
      <c r="C21" s="8">
        <f>IF('Model inputs'!Z29="","",'Model inputs'!Z29)</f>
        <v>79</v>
      </c>
      <c r="D21" s="8">
        <f>IF('Model inputs'!Z29="","",'Model inputs'!Z29)</f>
        <v>79</v>
      </c>
      <c r="E21" s="8">
        <f>IF('Model inputs'!Z29="","",'Model inputs'!Z29)</f>
        <v>79</v>
      </c>
      <c r="F21" s="8">
        <f>IF('Model inputs'!Z29="","",'Model inputs'!Z29)</f>
        <v>79</v>
      </c>
      <c r="G21" s="8">
        <f>IF('Model inputs'!Z29="","",'Model inputs'!Z29)</f>
        <v>79</v>
      </c>
      <c r="H21" s="8">
        <f>IF('Model inputs'!Z29="","",'Model inputs'!Z29)</f>
        <v>79</v>
      </c>
      <c r="I21" s="8">
        <f>IF('Model inputs'!Z29="","",'Model inputs'!Z29)</f>
        <v>79</v>
      </c>
      <c r="J21" s="8">
        <f>IF('Model inputs'!Z29="","",'Model inputs'!Z29)</f>
        <v>79</v>
      </c>
      <c r="K21" s="8">
        <f>IF('Model inputs'!Z29="","",'Model inputs'!Z29)</f>
        <v>79</v>
      </c>
      <c r="L21" s="8">
        <f>IF('Model inputs'!Z29="","",'Model inputs'!Z29)</f>
        <v>79</v>
      </c>
      <c r="M21" s="8">
        <f>IF('Model inputs'!Z29="","",'Model inputs'!Z29)</f>
        <v>79</v>
      </c>
      <c r="N21" s="8">
        <f>IF('Model inputs'!Z29="","",'Model inputs'!Z29)</f>
        <v>79</v>
      </c>
      <c r="O21" s="8">
        <f>IF('Model inputs'!Z29="","",'Model inputs'!Z29)</f>
        <v>79</v>
      </c>
      <c r="P21" s="8">
        <f>IF('Model inputs'!Z29="","",'Model inputs'!Z29)</f>
        <v>79</v>
      </c>
      <c r="Q21" s="8">
        <f>IF('Model inputs'!Z29="","",'Model inputs'!Z29)</f>
        <v>79</v>
      </c>
      <c r="R21" s="8">
        <f>IF('Model inputs'!Z29="","",'Model inputs'!Z29)</f>
        <v>79</v>
      </c>
      <c r="S21" s="8">
        <f>IF('Model inputs'!Z29="","",'Model inputs'!Z29)</f>
        <v>79</v>
      </c>
      <c r="T21" s="8">
        <f>IF('Model inputs'!Z29="","",'Model inputs'!Z29)</f>
        <v>79</v>
      </c>
      <c r="U21" s="8">
        <f>IF('Model inputs'!Z29="","",'Model inputs'!Z29)</f>
        <v>79</v>
      </c>
      <c r="V21" s="8">
        <f>IF('Model inputs'!Z29="","",'Model inputs'!Z29)</f>
        <v>79</v>
      </c>
      <c r="W21" s="8">
        <f>IF('Model inputs'!Z29="","",'Model inputs'!Z29)</f>
        <v>79</v>
      </c>
      <c r="X21" s="8">
        <f>IF('Model inputs'!Z29="","",'Model inputs'!Z29)</f>
        <v>79</v>
      </c>
      <c r="Y21" s="8">
        <f>IF('Model inputs'!Z29="","",'Model inputs'!Z29)</f>
        <v>79</v>
      </c>
    </row>
    <row r="22">
      <c r="A22" t="inlineStr" s="13">
        <is>
          <t xml:space="preserve">Assumed starting cash · Assumed ending cash · Main Scenario · Main Scenario</t>
        </is>
      </c>
      <c r="Z22" s="8">
        <f>0</f>
        <v>0</v>
      </c>
    </row>
    <row r="23">
      <c r="A23" t="inlineStr" s="13">
        <is>
          <t xml:space="preserve">Assumed starting cash · Assumed ending cash · Higher price · Higher price</t>
        </is>
      </c>
      <c r="Z23" s="8">
        <f>'Model inputs'!Z22</f>
        <v>0</v>
      </c>
    </row>
    <row r="24">
      <c r="A24" t="inlineStr" s="13">
        <is>
          <t xml:space="preserve">Assumed model cost per run · Assumed model cost · Assumed total cost · Main Scenario · Main Scenario · Main Scenario</t>
        </is>
      </c>
      <c r="Z24" s="8">
        <f>0.15</f>
        <v>0.15</v>
      </c>
    </row>
    <row r="25">
      <c r="A25" t="inlineStr" s="13">
        <is>
          <t xml:space="preserve">Assumed model cost per run · Assumed model cost · Assumed total cost · Higher price · Higher price · Higher price</t>
        </is>
      </c>
      <c r="Z25" s="8">
        <f>'Model inputs'!Z24</f>
        <v>0.15</v>
      </c>
    </row>
    <row r="26">
      <c r="A26" t="inlineStr" s="13">
        <is>
          <t xml:space="preserve">Assumed monthly infrastructure input · Assumed infrastructure · Assumed total cost · Main Scenario · Main Scenario · Main Scenario</t>
        </is>
      </c>
      <c r="Z26" s="8">
        <f>25</f>
        <v>25</v>
      </c>
    </row>
    <row r="27">
      <c r="A27" t="inlineStr" s="13">
        <is>
          <t xml:space="preserve">Assumed monthly infrastructure input · Assumed infrastructure · Assumed total cost · Higher price · Higher price · Higher price</t>
        </is>
      </c>
      <c r="Z27" s="8">
        <f>'Model inputs'!Z26</f>
        <v>25</v>
      </c>
    </row>
    <row r="28">
      <c r="A28" t="inlineStr" s="13">
        <is>
          <t xml:space="preserve">Assumed recovery price · Assumed price · Assumed revenue · Main Scenario · Main Scenario · Main Scenario</t>
        </is>
      </c>
      <c r="Z28" s="8">
        <f>49</f>
        <v>49</v>
      </c>
    </row>
    <row r="29">
      <c r="A29" t="inlineStr" s="13">
        <is>
          <t xml:space="preserve">Assumed recovery price · Assumed price · Assumed revenue · Higher price · Higher price · Higher price</t>
        </is>
      </c>
      <c r="Z29" s="8">
        <f>79</f>
        <v>79</v>
      </c>
    </row>
  </sheetData>
  <mergeCells count="2">
    <mergeCell ref="A1:Z1"/>
    <mergeCell ref="A2:Z2"/>
  </mergeCells>
</worksheet>
</file>